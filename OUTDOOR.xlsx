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brahim.arslan\Desktop\OOH Planlayıcı\"/>
    </mc:Choice>
  </mc:AlternateContent>
  <xr:revisionPtr revIDLastSave="0" documentId="13_ncr:1_{4E44DA1B-A449-4057-B70B-05CEEBA2E5B2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Hesaplar" sheetId="1" r:id="rId1"/>
    <sheet name="Otomatik Hesaplama" sheetId="2" r:id="rId2"/>
    <sheet name="Kampanya" sheetId="3" r:id="rId3"/>
    <sheet name="Günlük Gösterim Sayıları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4" l="1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3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D60" i="4"/>
  <c r="D59" i="4"/>
  <c r="D58" i="4"/>
  <c r="I58" i="4" s="1"/>
  <c r="D57" i="4"/>
  <c r="D56" i="4"/>
  <c r="D55" i="4"/>
  <c r="I55" i="4" s="1"/>
  <c r="D54" i="4"/>
  <c r="I54" i="4" s="1"/>
  <c r="D53" i="4"/>
  <c r="I53" i="4" s="1"/>
  <c r="D52" i="4"/>
  <c r="I52" i="4" s="1"/>
  <c r="D51" i="4"/>
  <c r="I51" i="4" s="1"/>
  <c r="D50" i="4"/>
  <c r="I50" i="4" s="1"/>
  <c r="D49" i="4"/>
  <c r="I49" i="4" s="1"/>
  <c r="E40" i="4"/>
  <c r="E34" i="4"/>
  <c r="E38" i="4" s="1"/>
  <c r="E28" i="4"/>
  <c r="E29" i="4" s="1"/>
  <c r="E30" i="4" s="1"/>
  <c r="E31" i="4" s="1"/>
  <c r="E32" i="4" s="1"/>
  <c r="E20" i="4"/>
  <c r="E19" i="4"/>
  <c r="E18" i="4"/>
  <c r="E17" i="4"/>
  <c r="E16" i="4"/>
  <c r="E14" i="4"/>
  <c r="E13" i="4"/>
  <c r="E12" i="4"/>
  <c r="E11" i="4"/>
  <c r="E10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7" i="4"/>
  <c r="I56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Q3" i="4"/>
  <c r="Q4" i="4"/>
  <c r="Q5" i="4"/>
  <c r="Q6" i="4"/>
  <c r="Q7" i="4"/>
  <c r="M4" i="2"/>
  <c r="M13" i="2"/>
  <c r="J13" i="2"/>
  <c r="H13" i="2"/>
  <c r="I13" i="2" s="1"/>
  <c r="E13" i="2"/>
  <c r="D13" i="2"/>
  <c r="M12" i="2"/>
  <c r="J12" i="2"/>
  <c r="H12" i="2"/>
  <c r="I12" i="2" s="1"/>
  <c r="E12" i="2"/>
  <c r="D12" i="2"/>
  <c r="M11" i="2"/>
  <c r="J11" i="2"/>
  <c r="H11" i="2"/>
  <c r="I11" i="2" s="1"/>
  <c r="E11" i="2"/>
  <c r="D11" i="2"/>
  <c r="M10" i="2"/>
  <c r="J10" i="2"/>
  <c r="H10" i="2"/>
  <c r="I10" i="2" s="1"/>
  <c r="E10" i="2"/>
  <c r="D10" i="2"/>
  <c r="M9" i="2"/>
  <c r="J9" i="2"/>
  <c r="H9" i="2"/>
  <c r="I9" i="2" s="1"/>
  <c r="E9" i="2"/>
  <c r="D9" i="2"/>
  <c r="M8" i="2"/>
  <c r="J8" i="2"/>
  <c r="H8" i="2"/>
  <c r="I8" i="2" s="1"/>
  <c r="E8" i="2"/>
  <c r="D8" i="2"/>
  <c r="M7" i="2"/>
  <c r="J7" i="2"/>
  <c r="H7" i="2"/>
  <c r="I7" i="2" s="1"/>
  <c r="E7" i="2"/>
  <c r="D7" i="2"/>
  <c r="M6" i="2"/>
  <c r="J6" i="2"/>
  <c r="H6" i="2"/>
  <c r="E6" i="2"/>
  <c r="D6" i="2"/>
  <c r="M5" i="2"/>
  <c r="J5" i="2"/>
  <c r="H5" i="2"/>
  <c r="E5" i="2"/>
  <c r="D5" i="2"/>
  <c r="J4" i="2"/>
  <c r="H4" i="2"/>
  <c r="E4" i="2"/>
  <c r="D4" i="2"/>
  <c r="M7" i="1"/>
  <c r="J7" i="1"/>
  <c r="H7" i="1"/>
  <c r="E7" i="1"/>
  <c r="D7" i="1"/>
  <c r="M6" i="1"/>
  <c r="J6" i="1"/>
  <c r="H6" i="1"/>
  <c r="E6" i="1"/>
  <c r="D6" i="1"/>
  <c r="M5" i="1"/>
  <c r="J5" i="1"/>
  <c r="H5" i="1"/>
  <c r="E5" i="1"/>
  <c r="D5" i="1"/>
  <c r="M4" i="1"/>
  <c r="J4" i="1"/>
  <c r="H4" i="1"/>
  <c r="E4" i="1"/>
  <c r="D4" i="1"/>
  <c r="P9" i="3"/>
  <c r="M9" i="3"/>
  <c r="K9" i="3"/>
  <c r="H9" i="3"/>
  <c r="G9" i="3"/>
  <c r="P8" i="3"/>
  <c r="M8" i="3"/>
  <c r="K8" i="3"/>
  <c r="H8" i="3"/>
  <c r="G8" i="3"/>
  <c r="P7" i="3"/>
  <c r="M7" i="3"/>
  <c r="H7" i="3"/>
  <c r="G7" i="3"/>
  <c r="P6" i="3"/>
  <c r="M6" i="3"/>
  <c r="H6" i="3"/>
  <c r="G6" i="3"/>
  <c r="P5" i="3"/>
  <c r="M5" i="3"/>
  <c r="H5" i="3"/>
  <c r="G5" i="3"/>
  <c r="P4" i="3"/>
  <c r="M4" i="3"/>
  <c r="K4" i="3"/>
  <c r="H4" i="3"/>
  <c r="G4" i="3"/>
  <c r="E42" i="4" l="1"/>
  <c r="E43" i="4"/>
  <c r="E41" i="4"/>
  <c r="E44" i="4"/>
  <c r="E35" i="4"/>
  <c r="E36" i="4"/>
  <c r="E37" i="4"/>
  <c r="K2" i="2" a="1"/>
  <c r="G8" i="2"/>
  <c r="G11" i="2"/>
  <c r="G7" i="2"/>
  <c r="G6" i="2"/>
  <c r="I6" i="2" s="1"/>
  <c r="G7" i="1"/>
  <c r="G6" i="1"/>
  <c r="G13" i="2"/>
  <c r="G10" i="2"/>
  <c r="G12" i="2"/>
  <c r="G5" i="2"/>
  <c r="I5" i="2" s="1"/>
  <c r="G5" i="1"/>
  <c r="J6" i="3"/>
  <c r="G4" i="1"/>
  <c r="J5" i="3"/>
  <c r="G4" i="2"/>
  <c r="I4" i="2" s="1"/>
  <c r="J9" i="3"/>
  <c r="J4" i="3"/>
  <c r="G9" i="2"/>
  <c r="J8" i="3"/>
  <c r="J7" i="3"/>
  <c r="N13" i="2"/>
  <c r="K13" i="2"/>
  <c r="K12" i="2"/>
  <c r="N12" i="2"/>
  <c r="K11" i="2"/>
  <c r="N11" i="2"/>
  <c r="K10" i="2"/>
  <c r="N10" i="2"/>
  <c r="K9" i="2"/>
  <c r="N9" i="2"/>
  <c r="K8" i="2"/>
  <c r="N8" i="2"/>
  <c r="K7" i="2"/>
  <c r="N7" i="2"/>
  <c r="N6" i="2" l="1"/>
  <c r="K6" i="2"/>
  <c r="N5" i="2"/>
  <c r="K5" i="2"/>
  <c r="N4" i="2"/>
  <c r="K4" i="2"/>
  <c r="L8" i="2"/>
  <c r="O8" i="2"/>
  <c r="L5" i="2"/>
  <c r="O5" i="2"/>
  <c r="O9" i="2"/>
  <c r="L9" i="2"/>
  <c r="L6" i="1"/>
  <c r="O6" i="1"/>
  <c r="I6" i="1"/>
  <c r="L5" i="1"/>
  <c r="O5" i="1"/>
  <c r="I5" i="1"/>
  <c r="O6" i="3"/>
  <c r="R6" i="3"/>
  <c r="O4" i="1"/>
  <c r="L4" i="1"/>
  <c r="I4" i="1"/>
  <c r="O5" i="3"/>
  <c r="R5" i="3"/>
  <c r="L4" i="2"/>
  <c r="O4" i="2"/>
  <c r="O16" i="2" s="1"/>
  <c r="N16" i="2" s="1"/>
  <c r="R9" i="3"/>
  <c r="O9" i="3"/>
  <c r="L9" i="3"/>
  <c r="O4" i="3"/>
  <c r="R4" i="3"/>
  <c r="L4" i="3"/>
  <c r="I7" i="1"/>
  <c r="L7" i="1"/>
  <c r="O7" i="1"/>
  <c r="L11" i="2"/>
  <c r="O11" i="2"/>
  <c r="O7" i="2"/>
  <c r="L7" i="2"/>
  <c r="L6" i="2"/>
  <c r="O6" i="2"/>
  <c r="O13" i="2"/>
  <c r="L13" i="2"/>
  <c r="O10" i="2"/>
  <c r="L10" i="2"/>
  <c r="O12" i="2"/>
  <c r="L12" i="2"/>
  <c r="L8" i="3"/>
  <c r="O8" i="3"/>
  <c r="R8" i="3"/>
  <c r="O7" i="3"/>
  <c r="R7" i="3"/>
  <c r="L16" i="2" l="1"/>
  <c r="L10" i="1"/>
  <c r="K10" i="1" s="1"/>
  <c r="O10" i="1"/>
  <c r="N10" i="1" s="1"/>
  <c r="O10" i="3"/>
  <c r="N10" i="3" s="1"/>
  <c r="N6" i="1"/>
  <c r="K6" i="1"/>
  <c r="N5" i="1"/>
  <c r="K5" i="1"/>
  <c r="N4" i="1"/>
  <c r="K4" i="1"/>
  <c r="N9" i="3"/>
  <c r="Q9" i="3"/>
  <c r="Q4" i="3"/>
  <c r="N4" i="3"/>
  <c r="N7" i="1"/>
  <c r="K7" i="1"/>
  <c r="R10" i="3"/>
  <c r="Q10" i="3" s="1"/>
  <c r="Q8" i="3"/>
  <c r="N8" i="3"/>
  <c r="K2" i="2"/>
  <c r="K16" i="2" l="1"/>
  <c r="K25" i="4"/>
  <c r="E25" i="4"/>
  <c r="K5" i="4"/>
  <c r="E5" i="4"/>
  <c r="K6" i="4"/>
  <c r="K8" i="4"/>
  <c r="E8" i="4"/>
  <c r="K26" i="4"/>
  <c r="E26" i="4"/>
  <c r="K4" i="4"/>
  <c r="Q6" i="3"/>
  <c r="E6" i="4"/>
  <c r="K6" i="3"/>
  <c r="L6" i="3"/>
  <c r="N6" i="3"/>
  <c r="K24" i="4"/>
  <c r="E24" i="4"/>
  <c r="K23" i="4"/>
  <c r="E23" i="4"/>
  <c r="E22" i="4"/>
  <c r="K22" i="4"/>
  <c r="K7" i="4"/>
  <c r="N7" i="3"/>
  <c r="E7" i="4"/>
  <c r="K7" i="3"/>
  <c r="L7" i="3"/>
  <c r="Q7" i="3"/>
  <c r="Q5" i="3"/>
  <c r="E4" i="4"/>
  <c r="K5" i="3"/>
  <c r="L5" i="3"/>
  <c r="N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<sst xmlns="http://schemas.openxmlformats.org/spreadsheetml/2006/main" count="273" uniqueCount="45">
  <si>
    <t>OTOMATİK HESAPLAMA</t>
  </si>
  <si>
    <t>Tüm Türkiye</t>
  </si>
  <si>
    <t>ilgili bölgeler</t>
  </si>
  <si>
    <t>Maks erişim</t>
  </si>
  <si>
    <t>Ünite</t>
  </si>
  <si>
    <t>İl</t>
  </si>
  <si>
    <t>Marka</t>
  </si>
  <si>
    <t>Kampanya</t>
  </si>
  <si>
    <t>Bütçe</t>
  </si>
  <si>
    <t>Günlük Gösterim</t>
  </si>
  <si>
    <t>Kullanım Süresi</t>
  </si>
  <si>
    <t>Adet</t>
  </si>
  <si>
    <t>Toplam Gösterim</t>
  </si>
  <si>
    <t>Frekans</t>
  </si>
  <si>
    <t>Erişim (Kişi)</t>
  </si>
  <si>
    <t>Hedeflenen Evren</t>
  </si>
  <si>
    <t>Erişim (%)</t>
  </si>
  <si>
    <t>GRP</t>
  </si>
  <si>
    <t>Durak Raket CLP</t>
  </si>
  <si>
    <t>İstanbul</t>
  </si>
  <si>
    <t>Burgan Bank</t>
  </si>
  <si>
    <t>Ankara</t>
  </si>
  <si>
    <t>Bursa</t>
  </si>
  <si>
    <t>Antalya</t>
  </si>
  <si>
    <t>Giantboard</t>
  </si>
  <si>
    <t>Üst Geçit Alınlık</t>
  </si>
  <si>
    <t>İzmir</t>
  </si>
  <si>
    <t>Billboard</t>
  </si>
  <si>
    <t>Günlük Gösterim/Adet</t>
  </si>
  <si>
    <t>Nüfus</t>
  </si>
  <si>
    <t>Anadolu İlleri</t>
  </si>
  <si>
    <t>Türkiye</t>
  </si>
  <si>
    <t>Afiş Değiştiricili Megalight</t>
  </si>
  <si>
    <t>Megalight</t>
  </si>
  <si>
    <t>Elektrik Direği Banner</t>
  </si>
  <si>
    <t>Dijital Raket</t>
  </si>
  <si>
    <t>Dijital Ekran</t>
  </si>
  <si>
    <t>Toplu Taşıma Ekran</t>
  </si>
  <si>
    <t>Network Adedi</t>
  </si>
  <si>
    <t>Endeks</t>
  </si>
  <si>
    <t>Dikkate Alınacak Adet</t>
  </si>
  <si>
    <t>Periyod</t>
  </si>
  <si>
    <t>Avm Dış Led Ekran</t>
  </si>
  <si>
    <t>Tramvay Raket CLP</t>
  </si>
  <si>
    <t>Raket 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</si>
</sst>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0.0"/>
    <numFmt numFmtId="165" formatCode="#,##0.0"/>
    <numFmt numFmtId="166" formatCode="_-&quot;₺&quot;* #,##0_-;\-&quot;₺&quot;* #,##0_-;_-&quot;₺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/>
      <top/>
      <bottom style="thin">
        <color theme="5"/>
      </bottom>
      <diagonal/>
    </border>
  </borders>
  <cellStyleXfs count="3">
    <xf numFmtId="0" fontId="0" fillId="0" borderId="0"/>
    <xf numFmtId="9" fontId="1" fillId="0" borderId="0"/>
    <xf numFmtId="44" fontId="1" fillId="0" borderId="0"/>
  </cellStyleXfs>
  <cellXfs count="31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9" fontId="2" fillId="0" borderId="0" xfId="1" applyFont="1" applyAlignment="1">
      <alignment horizontal="center"/>
    </xf>
    <xf numFmtId="9" fontId="0" fillId="0" borderId="0" xfId="1" applyFont="1"/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2" borderId="2" xfId="0" applyFon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166" fontId="0" fillId="4" borderId="1" xfId="2" applyNumberFormat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9" fontId="1" fillId="0" borderId="1" xfId="1" applyBorder="1" applyAlignment="1">
      <alignment horizontal="center"/>
    </xf>
    <xf numFmtId="0" fontId="0" fillId="6" borderId="0" xfId="0" applyFill="1"/>
    <xf numFmtId="9" fontId="1" fillId="6" borderId="0" xfId="1" applyFill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3" xfId="0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peed Template v2">
  <a:themeElements>
    <a:clrScheme name="Speed 2.0">
      <a:dk1>
        <a:srgbClr val="133099"/>
      </a:dk1>
      <a:lt1>
        <a:srgbClr val="FFFFFF"/>
      </a:lt1>
      <a:dk2>
        <a:srgbClr val="000000"/>
      </a:dk2>
      <a:lt2>
        <a:srgbClr val="E7E6E6"/>
      </a:lt2>
      <a:accent1>
        <a:srgbClr val="133199"/>
      </a:accent1>
      <a:accent2>
        <a:srgbClr val="3BBCF8"/>
      </a:accent2>
      <a:accent3>
        <a:srgbClr val="E93C62"/>
      </a:accent3>
      <a:accent4>
        <a:srgbClr val="45DB69"/>
      </a:accent4>
      <a:accent5>
        <a:srgbClr val="BF4AC4"/>
      </a:accent5>
      <a:accent6>
        <a:srgbClr val="FF6300"/>
      </a:accent6>
      <a:hlink>
        <a:srgbClr val="3BBCF8"/>
      </a:hlink>
      <a:folHlink>
        <a:srgbClr val="1E2591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peed Template v2" id="{93DA7078-986C-48DD-94AB-D00404848B91}" vid="{EAA7236C-EA18-49F5-BEAD-FFE694F4FC9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3"/>
  <sheetViews>
    <sheetView zoomScale="150" zoomScaleNormal="150" workbookViewId="0">
      <selection activeCell="E5" sqref="E5"/>
    </sheetView>
  </sheetViews>
  <sheetFormatPr defaultRowHeight="14.4" x14ac:dyDescent="0.3"/>
  <cols>
    <col min="2" max="2" width="20.44140625" bestFit="1" customWidth="1"/>
    <col min="3" max="3" width="14.44140625" customWidth="1"/>
    <col min="4" max="4" width="15.33203125" bestFit="1" customWidth="1"/>
    <col min="5" max="5" width="14.6640625" bestFit="1" customWidth="1"/>
    <col min="6" max="6" width="4.88671875" bestFit="1" customWidth="1"/>
    <col min="7" max="7" width="15.44140625" bestFit="1" customWidth="1"/>
    <col min="8" max="8" width="8.6640625" bestFit="1" customWidth="1"/>
    <col min="9" max="9" width="10.44140625" bestFit="1" customWidth="1"/>
    <col min="10" max="10" width="16.109375" bestFit="1" customWidth="1"/>
    <col min="11" max="11" width="9.109375" style="2" bestFit="1" customWidth="1"/>
    <col min="12" max="12" width="4.33203125" bestFit="1" customWidth="1"/>
    <col min="13" max="13" width="16.109375" bestFit="1" customWidth="1"/>
    <col min="14" max="14" width="9.109375" style="2" bestFit="1" customWidth="1"/>
    <col min="15" max="15" width="5.6640625" bestFit="1" customWidth="1"/>
  </cols>
  <sheetData>
    <row r="1" spans="2:15" x14ac:dyDescent="0.3">
      <c r="J1" s="27" t="s">
        <v>1</v>
      </c>
      <c r="K1" s="27"/>
      <c r="L1" s="28"/>
      <c r="M1" s="27" t="s">
        <v>2</v>
      </c>
      <c r="N1" s="27"/>
      <c r="O1" s="28"/>
    </row>
    <row r="2" spans="2:15" x14ac:dyDescent="0.3">
      <c r="J2" t="s">
        <v>3</v>
      </c>
      <c r="K2" s="3">
        <v>0.25</v>
      </c>
      <c r="M2" t="s">
        <v>3</v>
      </c>
      <c r="N2" s="3">
        <v>0.7</v>
      </c>
    </row>
    <row r="3" spans="2:15" x14ac:dyDescent="0.3">
      <c r="B3" s="11" t="s">
        <v>4</v>
      </c>
      <c r="C3" s="11" t="s">
        <v>5</v>
      </c>
      <c r="D3" s="11" t="s">
        <v>9</v>
      </c>
      <c r="E3" s="11" t="s">
        <v>10</v>
      </c>
      <c r="F3" s="11" t="s">
        <v>11</v>
      </c>
      <c r="G3" s="11" t="s">
        <v>12</v>
      </c>
      <c r="H3" s="11" t="s">
        <v>13</v>
      </c>
      <c r="I3" s="11" t="s">
        <v>14</v>
      </c>
      <c r="J3" s="11" t="s">
        <v>15</v>
      </c>
      <c r="K3" s="11" t="s">
        <v>16</v>
      </c>
      <c r="L3" s="11" t="s">
        <v>17</v>
      </c>
      <c r="M3" s="11" t="s">
        <v>15</v>
      </c>
      <c r="N3" s="11" t="s">
        <v>16</v>
      </c>
      <c r="O3" s="11" t="s">
        <v>17</v>
      </c>
    </row>
    <row r="4" spans="2:15" x14ac:dyDescent="0.3">
      <c r="B4" s="8" t="s">
        <v>18</v>
      </c>
      <c r="C4" s="8" t="s">
        <v>19</v>
      </c>
      <c r="D4" s="9">
        <f>SUMIFS('Günlük Gösterim Sayıları'!D:D, 'Günlük Gösterim Sayıları'!B:B, C4, 'Günlük Gösterim Sayıları'!C:C, B4)</f>
        <v>17412</v>
      </c>
      <c r="E4" s="9">
        <f>_xlfn.XLOOKUP(B4, 'Günlük Gösterim Sayıları'!O:O, 'Günlük Gösterim Sayıları'!P:P, 7)</f>
        <v>1</v>
      </c>
      <c r="F4" s="9">
        <v>400</v>
      </c>
      <c r="G4" s="9">
        <f>+D4*E4*F4</f>
        <v>6964800</v>
      </c>
      <c r="H4" s="12">
        <f>SUMIFS('Günlük Gösterim Sayıları'!E:E, 'Günlük Gösterim Sayıları'!B:B, C4, 'Günlük Gösterim Sayıları'!C:C, B4)</f>
        <v>17</v>
      </c>
      <c r="I4" s="9">
        <f>IF(H4=0, 0, G4/H4)</f>
        <v>409694.1176470588</v>
      </c>
      <c r="J4" s="9">
        <f>+'Günlük Gösterim Sayıları'!P8</f>
        <v>86920168</v>
      </c>
      <c r="K4" s="13">
        <f>I4/J4</f>
        <v>4.7134528967668213E-3</v>
      </c>
      <c r="L4" s="9">
        <f>+G4/J4*100</f>
        <v>8.0128699245035975</v>
      </c>
      <c r="M4" s="9">
        <f>_xlfn.XLOOKUP(C4, 'Günlük Gösterim Sayıları'!O:O, 'Günlük Gösterim Sayıları'!P:P, 86920168)</f>
        <v>15754053</v>
      </c>
      <c r="N4" s="13">
        <f>+I4/M4</f>
        <v>2.6005632813794571E-2</v>
      </c>
      <c r="O4" s="9">
        <f>+G4/M4*100</f>
        <v>44.209575783450774</v>
      </c>
    </row>
    <row r="5" spans="2:15" x14ac:dyDescent="0.3">
      <c r="B5" s="8" t="s">
        <v>27</v>
      </c>
      <c r="C5" s="8" t="s">
        <v>21</v>
      </c>
      <c r="D5" s="9">
        <f>SUMIFS('Günlük Gösterim Sayıları'!D:D, 'Günlük Gösterim Sayıları'!B:B, C5, 'Günlük Gösterim Sayıları'!C:C, B5)</f>
        <v>56529.372175593177</v>
      </c>
      <c r="E5" s="9">
        <f>_xlfn.XLOOKUP(B5, 'Günlük Gösterim Sayıları'!O:O, 'Günlük Gösterim Sayıları'!P:P, 7)</f>
        <v>1</v>
      </c>
      <c r="F5" s="9">
        <v>200</v>
      </c>
      <c r="G5" s="9">
        <f>+D5*E5*F5</f>
        <v>11305874.435118636</v>
      </c>
      <c r="H5" s="12">
        <f>SUMIFS('Günlük Gösterim Sayıları'!E:E, 'Günlük Gösterim Sayıları'!B:B, C5, 'Günlük Gösterim Sayıları'!C:C, B5)</f>
        <v>15.301</v>
      </c>
      <c r="I5" s="9">
        <f>IF(H5=0, 0, G5/H5)</f>
        <v>738897.74754059443</v>
      </c>
      <c r="J5" s="9">
        <f>+'Günlük Gösterim Sayıları'!P8</f>
        <v>86920168</v>
      </c>
      <c r="K5" s="13">
        <f>I5/J5</f>
        <v>8.5008780417980146E-3</v>
      </c>
      <c r="L5" s="9">
        <f>+G5/J5*100</f>
        <v>13.007193491755142</v>
      </c>
      <c r="M5" s="9">
        <f>_xlfn.XLOOKUP(C5, 'Günlük Gösterim Sayıları'!O:O, 'Günlük Gösterim Sayıları'!P:P, 86920168)</f>
        <v>5910320</v>
      </c>
      <c r="N5" s="13">
        <f>+I5/M5</f>
        <v>0.12501823040725282</v>
      </c>
      <c r="O5" s="9">
        <f>+G5/M5*100</f>
        <v>191.29039434613753</v>
      </c>
    </row>
    <row r="6" spans="2:15" x14ac:dyDescent="0.3">
      <c r="B6" s="8" t="s">
        <v>25</v>
      </c>
      <c r="C6" s="8" t="s">
        <v>19</v>
      </c>
      <c r="D6" s="9">
        <f>SUMIFS('Günlük Gösterim Sayıları'!D:D, 'Günlük Gösterim Sayıları'!B:B, C6, 'Günlük Gösterim Sayıları'!C:C, B6)</f>
        <v>150000</v>
      </c>
      <c r="E6" s="9">
        <f>_xlfn.XLOOKUP(B6, 'Günlük Gösterim Sayıları'!O:O, 'Günlük Gösterim Sayıları'!P:P, 7)</f>
        <v>1</v>
      </c>
      <c r="F6" s="9">
        <v>5</v>
      </c>
      <c r="G6" s="9">
        <f>+D6*E6*F6</f>
        <v>750000</v>
      </c>
      <c r="H6" s="12">
        <f>SUMIFS('Günlük Gösterim Sayıları'!E:E, 'Günlük Gösterim Sayıları'!B:B, C6, 'Günlük Gösterim Sayıları'!C:C, B6)</f>
        <v>4</v>
      </c>
      <c r="I6" s="9">
        <f>IF(H6=0, 0, G6/H6)</f>
        <v>187500</v>
      </c>
      <c r="J6" s="9">
        <f>+'Günlük Gösterim Sayıları'!P8</f>
        <v>86920168</v>
      </c>
      <c r="K6" s="13">
        <f>I6/J6</f>
        <v>2.1571518361538371E-3</v>
      </c>
      <c r="L6" s="9">
        <f>+G6/J6*100</f>
        <v>0.86286073446153488</v>
      </c>
      <c r="M6" s="9">
        <f>_xlfn.XLOOKUP(C6, 'Günlük Gösterim Sayıları'!O:O, 'Günlük Gösterim Sayıları'!P:P, 86920168)</f>
        <v>15754053</v>
      </c>
      <c r="N6" s="13">
        <f>+I6/M6</f>
        <v>1.1901699200834224E-2</v>
      </c>
      <c r="O6" s="9">
        <f>+G6/M6*100</f>
        <v>4.7606796803336895</v>
      </c>
    </row>
    <row r="7" spans="2:15" x14ac:dyDescent="0.3">
      <c r="B7" s="8" t="s">
        <v>24</v>
      </c>
      <c r="C7" s="8" t="s">
        <v>19</v>
      </c>
      <c r="D7" s="9">
        <f>SUMIFS('Günlük Gösterim Sayıları'!D:D, 'Günlük Gösterim Sayıları'!B:B, C7, 'Günlük Gösterim Sayıları'!C:C, B7)</f>
        <v>100000</v>
      </c>
      <c r="E7" s="9">
        <f>_xlfn.XLOOKUP(B7, 'Günlük Gösterim Sayıları'!O:O, 'Günlük Gösterim Sayıları'!P:P, 7)</f>
        <v>1</v>
      </c>
      <c r="F7" s="9">
        <v>10</v>
      </c>
      <c r="G7" s="9">
        <f>+D7*E7*F7</f>
        <v>1000000</v>
      </c>
      <c r="H7" s="12">
        <f>SUMIFS('Günlük Gösterim Sayıları'!E:E, 'Günlük Gösterim Sayıları'!B:B, C7, 'Günlük Gösterim Sayıları'!C:C, B7)</f>
        <v>3.4</v>
      </c>
      <c r="I7" s="9">
        <f>IF(H7=0, 0, G7/H7)</f>
        <v>294117.64705882355</v>
      </c>
      <c r="J7" s="9">
        <f>+'Günlük Gösterim Sayıları'!P8</f>
        <v>86920168</v>
      </c>
      <c r="K7" s="13">
        <f>I7/J7</f>
        <v>3.3837675861236663E-3</v>
      </c>
      <c r="L7" s="9">
        <f>+G7/J7*100</f>
        <v>1.1504809792820465</v>
      </c>
      <c r="M7" s="9">
        <f>_xlfn.XLOOKUP(C7, 'Günlük Gösterim Sayıları'!O:O, 'Günlük Gösterim Sayıları'!P:P, 86920168)</f>
        <v>15754053</v>
      </c>
      <c r="N7" s="13">
        <f>+I7/M7</f>
        <v>1.8669332079739961E-2</v>
      </c>
      <c r="O7" s="9">
        <f>+G7/M7*100</f>
        <v>6.3475729071115854</v>
      </c>
    </row>
    <row r="8" spans="2:15" x14ac:dyDescent="0.3">
      <c r="B8" s="8" t="s">
        <v>18</v>
      </c>
      <c r="C8" s="8" t="s">
        <v>21</v>
      </c>
      <c r="D8" s="9"/>
      <c r="E8" s="9"/>
      <c r="F8" s="9"/>
      <c r="G8" s="9"/>
      <c r="H8" s="12"/>
      <c r="I8" s="9"/>
      <c r="J8" s="9"/>
      <c r="K8" s="13"/>
      <c r="L8" s="9"/>
      <c r="M8" s="9"/>
      <c r="N8" s="13"/>
      <c r="O8" s="9"/>
    </row>
    <row r="9" spans="2:15" x14ac:dyDescent="0.3">
      <c r="B9" s="2"/>
      <c r="C9" s="2"/>
      <c r="D9" s="14"/>
      <c r="E9" s="14"/>
      <c r="F9" s="14"/>
      <c r="G9" s="14"/>
      <c r="H9" s="15"/>
      <c r="I9" s="14"/>
      <c r="J9" s="14"/>
      <c r="K9" s="3"/>
      <c r="L9" s="14"/>
      <c r="M9" s="14"/>
      <c r="N9" s="3"/>
      <c r="O9" s="14"/>
    </row>
    <row r="10" spans="2:15" x14ac:dyDescent="0.3">
      <c r="K10" s="5">
        <f>L10*K2*100/(L10+K2*100)/100</f>
        <v>0.11988222086099481</v>
      </c>
      <c r="L10" s="1">
        <f>SUM(L4:L7)</f>
        <v>23.033405130002322</v>
      </c>
      <c r="N10" s="5">
        <f>O10*N2*100/(O10+N2*100)/100</f>
        <v>0.54523459441609823</v>
      </c>
      <c r="O10" s="1">
        <f>SUM(O4:O7)</f>
        <v>246.60822271703356</v>
      </c>
    </row>
    <row r="13" spans="2:15" x14ac:dyDescent="0.3">
      <c r="K13" s="4"/>
      <c r="N13" s="4"/>
    </row>
  </sheetData>
  <mergeCells count="2">
    <mergeCell ref="M1:O1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9"/>
  <sheetViews>
    <sheetView showGridLines="0" zoomScale="150" zoomScaleNormal="150" workbookViewId="0">
      <selection activeCell="F6" sqref="F6"/>
    </sheetView>
  </sheetViews>
  <sheetFormatPr defaultRowHeight="14.4" x14ac:dyDescent="0.3"/>
  <cols>
    <col min="2" max="2" width="20.44140625" bestFit="1" customWidth="1"/>
    <col min="3" max="3" width="14.44140625" customWidth="1"/>
    <col min="4" max="4" width="15.33203125" bestFit="1" customWidth="1"/>
    <col min="5" max="5" width="14.6640625" bestFit="1" customWidth="1"/>
    <col min="6" max="6" width="4.88671875" bestFit="1" customWidth="1"/>
    <col min="7" max="7" width="15.44140625" bestFit="1" customWidth="1"/>
    <col min="8" max="8" width="8.6640625" bestFit="1" customWidth="1"/>
    <col min="9" max="9" width="11.44140625" bestFit="1" customWidth="1"/>
    <col min="10" max="10" width="16.109375" bestFit="1" customWidth="1"/>
    <col min="11" max="11" width="9.109375" style="2" bestFit="1" customWidth="1"/>
    <col min="12" max="12" width="4.33203125" bestFit="1" customWidth="1"/>
    <col min="13" max="13" width="16.109375" bestFit="1" customWidth="1"/>
    <col min="14" max="14" width="9.109375" style="2" bestFit="1" customWidth="1"/>
    <col min="15" max="15" width="7.6640625" bestFit="1" customWidth="1"/>
  </cols>
  <sheetData>
    <row r="1" spans="2:15" x14ac:dyDescent="0.3">
      <c r="B1" s="29" t="s">
        <v>0</v>
      </c>
      <c r="C1" s="28"/>
      <c r="D1" s="28"/>
      <c r="J1" s="27" t="s">
        <v>1</v>
      </c>
      <c r="K1" s="27"/>
      <c r="L1" s="28"/>
      <c r="M1" s="27" t="s">
        <v>2</v>
      </c>
      <c r="N1" s="27"/>
      <c r="O1" s="28"/>
    </row>
    <row r="2" spans="2:15" x14ac:dyDescent="0.3">
      <c r="B2" s="30"/>
      <c r="C2" s="30"/>
      <c r="D2" s="30"/>
      <c r="J2" t="s">
        <v>3</v>
      </c>
      <c r="K2" s="1" cm="1">
        <f t="array" ref="K2">IFERROR((SUMPRODUCT((M4:M13) / IF(COUNTIF(C4:C13, C4:C13&amp;"")=0, 1, COUNTIF(C4:C13, C4:C13&amp;"")) * (C4:C13&lt;&gt;"")) / 86092168) * 100, 0)</f>
        <v>0</v>
      </c>
      <c r="M2" t="s">
        <v>3</v>
      </c>
      <c r="N2" s="3">
        <v>0.7</v>
      </c>
    </row>
    <row r="3" spans="2:15" x14ac:dyDescent="0.3">
      <c r="B3" s="16" t="s">
        <v>4</v>
      </c>
      <c r="C3" s="16" t="s">
        <v>5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16" t="s">
        <v>15</v>
      </c>
      <c r="K3" s="16" t="s">
        <v>16</v>
      </c>
      <c r="L3" s="16" t="s">
        <v>17</v>
      </c>
      <c r="M3" s="16" t="s">
        <v>15</v>
      </c>
      <c r="N3" s="16" t="s">
        <v>16</v>
      </c>
      <c r="O3" s="16" t="s">
        <v>17</v>
      </c>
    </row>
    <row r="4" spans="2:15" x14ac:dyDescent="0.3">
      <c r="B4" s="18"/>
      <c r="C4" s="18"/>
      <c r="D4" s="9">
        <f>SUMIFS('Günlük Gösterim Sayıları'!D:D, 'Günlük Gösterim Sayıları'!B:B, C4, 'Günlük Gösterim Sayıları'!C:C, B4)</f>
        <v>0</v>
      </c>
      <c r="E4" s="9">
        <f>_xlfn.XLOOKUP(B4, 'Günlük Gösterim Sayıları'!O:O, 'Günlük Gösterim Sayıları'!P:P, 7)</f>
        <v>0</v>
      </c>
      <c r="F4" s="17"/>
      <c r="G4" s="9">
        <f t="shared" ref="G4:G13" si="0">+D4*E4*F4</f>
        <v>0</v>
      </c>
      <c r="H4" s="12">
        <f>SUMIFS('Günlük Gösterim Sayıları'!E:E, 'Günlük Gösterim Sayıları'!B:B, C4, 'Günlük Gösterim Sayıları'!C:C, B4)</f>
        <v>0</v>
      </c>
      <c r="I4" s="9">
        <f t="shared" ref="I4:I13" si="1">IF(H4=0, 0, G4/H4)</f>
        <v>0</v>
      </c>
      <c r="J4" s="9">
        <f>+'Günlük Gösterim Sayıları'!$P$8</f>
        <v>86920168</v>
      </c>
      <c r="K4" s="13">
        <f t="shared" ref="K4:K13" si="2">I4/J4</f>
        <v>0</v>
      </c>
      <c r="L4" s="9">
        <f t="shared" ref="L4:L13" si="3">+G4/J4*100</f>
        <v>0</v>
      </c>
      <c r="M4" s="9">
        <f>IFERROR(VLOOKUP(C4, 'Günlük Gösterim Sayıları'!B:P, 9, FALSE), 0)</f>
        <v>0</v>
      </c>
      <c r="N4" s="13" t="e">
        <f t="shared" ref="N4:N13" si="4">+I4/M4</f>
        <v>#DIV/0!</v>
      </c>
      <c r="O4" s="9" t="e">
        <f t="shared" ref="O4:O13" si="5">+G4/M4*100</f>
        <v>#DIV/0!</v>
      </c>
    </row>
    <row r="5" spans="2:15" x14ac:dyDescent="0.3">
      <c r="B5" s="18"/>
      <c r="C5" s="18"/>
      <c r="D5" s="9">
        <f>SUMIFS('Günlük Gösterim Sayıları'!D:D, 'Günlük Gösterim Sayıları'!B:B, C5, 'Günlük Gösterim Sayıları'!C:C, B5)</f>
        <v>0</v>
      </c>
      <c r="E5" s="9">
        <f>_xlfn.XLOOKUP(B5, 'Günlük Gösterim Sayıları'!O:O, 'Günlük Gösterim Sayıları'!P:P, 7)</f>
        <v>0</v>
      </c>
      <c r="F5" s="17"/>
      <c r="G5" s="9">
        <f t="shared" si="0"/>
        <v>0</v>
      </c>
      <c r="H5" s="12">
        <f>SUMIFS('Günlük Gösterim Sayıları'!E:E, 'Günlük Gösterim Sayıları'!B:B, C5, 'Günlük Gösterim Sayıları'!C:C, B5)</f>
        <v>0</v>
      </c>
      <c r="I5" s="9">
        <f t="shared" si="1"/>
        <v>0</v>
      </c>
      <c r="J5" s="9">
        <f>+'Günlük Gösterim Sayıları'!P8</f>
        <v>86920168</v>
      </c>
      <c r="K5" s="13">
        <f t="shared" si="2"/>
        <v>0</v>
      </c>
      <c r="L5" s="9">
        <f t="shared" si="3"/>
        <v>0</v>
      </c>
      <c r="M5" s="9">
        <f>_xlfn.XLOOKUP(C5, 'Günlük Gösterim Sayıları'!O:O, 'Günlük Gösterim Sayıları'!P:P, 86920168)</f>
        <v>0</v>
      </c>
      <c r="N5" s="13" t="e">
        <f t="shared" si="4"/>
        <v>#DIV/0!</v>
      </c>
      <c r="O5" s="9" t="e">
        <f t="shared" si="5"/>
        <v>#DIV/0!</v>
      </c>
    </row>
    <row r="6" spans="2:15" x14ac:dyDescent="0.3">
      <c r="B6" s="18"/>
      <c r="C6" s="18"/>
      <c r="D6" s="9">
        <f>SUMIFS('Günlük Gösterim Sayıları'!D:D, 'Günlük Gösterim Sayıları'!B:B, C6, 'Günlük Gösterim Sayıları'!C:C, B6)</f>
        <v>0</v>
      </c>
      <c r="E6" s="9">
        <f>_xlfn.XLOOKUP(B6, 'Günlük Gösterim Sayıları'!O:O, 'Günlük Gösterim Sayıları'!P:P, 7)</f>
        <v>0</v>
      </c>
      <c r="F6" s="17"/>
      <c r="G6" s="9">
        <f t="shared" si="0"/>
        <v>0</v>
      </c>
      <c r="H6" s="12">
        <f>SUMIFS('Günlük Gösterim Sayıları'!E:E, 'Günlük Gösterim Sayıları'!B:B, C6, 'Günlük Gösterim Sayıları'!C:C, B6)</f>
        <v>0</v>
      </c>
      <c r="I6" s="9">
        <f t="shared" si="1"/>
        <v>0</v>
      </c>
      <c r="J6" s="9">
        <f>+'Günlük Gösterim Sayıları'!$P$8</f>
        <v>86920168</v>
      </c>
      <c r="K6" s="13">
        <f t="shared" si="2"/>
        <v>0</v>
      </c>
      <c r="L6" s="9">
        <f t="shared" si="3"/>
        <v>0</v>
      </c>
      <c r="M6" s="9">
        <f>_xlfn.XLOOKUP(C6, 'Günlük Gösterim Sayıları'!O:O, 'Günlük Gösterim Sayıları'!P:P, 86920168)</f>
        <v>0</v>
      </c>
      <c r="N6" s="13" t="e">
        <f t="shared" si="4"/>
        <v>#DIV/0!</v>
      </c>
      <c r="O6" s="9" t="e">
        <f t="shared" si="5"/>
        <v>#DIV/0!</v>
      </c>
    </row>
    <row r="7" spans="2:15" x14ac:dyDescent="0.3">
      <c r="B7" s="18"/>
      <c r="C7" s="18"/>
      <c r="D7" s="9">
        <f>SUMIFS('Günlük Gösterim Sayıları'!D:D, 'Günlük Gösterim Sayıları'!B:B, C7, 'Günlük Gösterim Sayıları'!C:C, B7)</f>
        <v>0</v>
      </c>
      <c r="E7" s="9">
        <f>_xlfn.XLOOKUP(B7, 'Günlük Gösterim Sayıları'!O:O, 'Günlük Gösterim Sayıları'!P:P, 7)</f>
        <v>0</v>
      </c>
      <c r="F7" s="17"/>
      <c r="G7" s="9">
        <f t="shared" si="0"/>
        <v>0</v>
      </c>
      <c r="H7" s="12">
        <f>SUMIFS('Günlük Gösterim Sayıları'!E:E, 'Günlük Gösterim Sayıları'!B:B, C7, 'Günlük Gösterim Sayıları'!C:C, B7)</f>
        <v>0</v>
      </c>
      <c r="I7" s="9">
        <f t="shared" si="1"/>
        <v>0</v>
      </c>
      <c r="J7" s="9">
        <f>+'Günlük Gösterim Sayıları'!$P$8</f>
        <v>86920168</v>
      </c>
      <c r="K7" s="13">
        <f t="shared" si="2"/>
        <v>0</v>
      </c>
      <c r="L7" s="9">
        <f t="shared" si="3"/>
        <v>0</v>
      </c>
      <c r="M7" s="9">
        <f>_xlfn.XLOOKUP(C7, 'Günlük Gösterim Sayıları'!O:O, 'Günlük Gösterim Sayıları'!P:P, 86920168)</f>
        <v>0</v>
      </c>
      <c r="N7" s="13" t="e">
        <f t="shared" si="4"/>
        <v>#DIV/0!</v>
      </c>
      <c r="O7" s="9" t="e">
        <f t="shared" si="5"/>
        <v>#DIV/0!</v>
      </c>
    </row>
    <row r="8" spans="2:15" x14ac:dyDescent="0.3">
      <c r="B8" s="18"/>
      <c r="C8" s="18"/>
      <c r="D8" s="9">
        <f>SUMIFS('Günlük Gösterim Sayıları'!D:D, 'Günlük Gösterim Sayıları'!B:B, C8, 'Günlük Gösterim Sayıları'!C:C, B8)</f>
        <v>0</v>
      </c>
      <c r="E8" s="9">
        <f>_xlfn.XLOOKUP(B8, 'Günlük Gösterim Sayıları'!O:O, 'Günlük Gösterim Sayıları'!P:P, 7)</f>
        <v>0</v>
      </c>
      <c r="F8" s="17"/>
      <c r="G8" s="9">
        <f t="shared" si="0"/>
        <v>0</v>
      </c>
      <c r="H8" s="12">
        <f>SUMIFS('Günlük Gösterim Sayıları'!E:E, 'Günlük Gösterim Sayıları'!B:B, C8, 'Günlük Gösterim Sayıları'!C:C, B8)</f>
        <v>0</v>
      </c>
      <c r="I8" s="9">
        <f t="shared" si="1"/>
        <v>0</v>
      </c>
      <c r="J8" s="9">
        <f>+'Günlük Gösterim Sayıları'!$P$8</f>
        <v>86920168</v>
      </c>
      <c r="K8" s="13">
        <f t="shared" si="2"/>
        <v>0</v>
      </c>
      <c r="L8" s="9">
        <f t="shared" si="3"/>
        <v>0</v>
      </c>
      <c r="M8" s="9">
        <f>_xlfn.XLOOKUP(C8, 'Günlük Gösterim Sayıları'!O:O, 'Günlük Gösterim Sayıları'!P:P, 86920168)</f>
        <v>0</v>
      </c>
      <c r="N8" s="13" t="e">
        <f t="shared" si="4"/>
        <v>#DIV/0!</v>
      </c>
      <c r="O8" s="9" t="e">
        <f t="shared" si="5"/>
        <v>#DIV/0!</v>
      </c>
    </row>
    <row r="9" spans="2:15" x14ac:dyDescent="0.3">
      <c r="B9" s="18"/>
      <c r="C9" s="18"/>
      <c r="D9" s="9">
        <f>SUMIFS('Günlük Gösterim Sayıları'!D:D, 'Günlük Gösterim Sayıları'!B:B, C9, 'Günlük Gösterim Sayıları'!C:C, B9)</f>
        <v>0</v>
      </c>
      <c r="E9" s="9">
        <f>_xlfn.XLOOKUP(B9, 'Günlük Gösterim Sayıları'!O:O, 'Günlük Gösterim Sayıları'!P:P, 7)</f>
        <v>0</v>
      </c>
      <c r="F9" s="17"/>
      <c r="G9" s="9">
        <f t="shared" si="0"/>
        <v>0</v>
      </c>
      <c r="H9" s="12">
        <f>SUMIFS('Günlük Gösterim Sayıları'!E:E, 'Günlük Gösterim Sayıları'!B:B, C9, 'Günlük Gösterim Sayıları'!C:C, B9)</f>
        <v>0</v>
      </c>
      <c r="I9" s="9">
        <f t="shared" si="1"/>
        <v>0</v>
      </c>
      <c r="J9" s="9">
        <f>+'Günlük Gösterim Sayıları'!$P$8</f>
        <v>86920168</v>
      </c>
      <c r="K9" s="13">
        <f t="shared" si="2"/>
        <v>0</v>
      </c>
      <c r="L9" s="9">
        <f t="shared" si="3"/>
        <v>0</v>
      </c>
      <c r="M9" s="9">
        <f>_xlfn.XLOOKUP(C9, 'Günlük Gösterim Sayıları'!O:O, 'Günlük Gösterim Sayıları'!P:P, 86920168)</f>
        <v>0</v>
      </c>
      <c r="N9" s="13" t="e">
        <f t="shared" si="4"/>
        <v>#DIV/0!</v>
      </c>
      <c r="O9" s="9" t="e">
        <f t="shared" si="5"/>
        <v>#DIV/0!</v>
      </c>
    </row>
    <row r="10" spans="2:15" x14ac:dyDescent="0.3">
      <c r="B10" s="18"/>
      <c r="C10" s="18"/>
      <c r="D10" s="9">
        <f>SUMIFS('Günlük Gösterim Sayıları'!D:D, 'Günlük Gösterim Sayıları'!B:B, C10, 'Günlük Gösterim Sayıları'!C:C, B10)</f>
        <v>0</v>
      </c>
      <c r="E10" s="9">
        <f>_xlfn.XLOOKUP(B10, 'Günlük Gösterim Sayıları'!O:O, 'Günlük Gösterim Sayıları'!P:P, 7)</f>
        <v>0</v>
      </c>
      <c r="F10" s="17"/>
      <c r="G10" s="9">
        <f t="shared" si="0"/>
        <v>0</v>
      </c>
      <c r="H10" s="12">
        <f>SUMIFS('Günlük Gösterim Sayıları'!E:E, 'Günlük Gösterim Sayıları'!B:B, C10, 'Günlük Gösterim Sayıları'!C:C, B10)</f>
        <v>0</v>
      </c>
      <c r="I10" s="9">
        <f t="shared" si="1"/>
        <v>0</v>
      </c>
      <c r="J10" s="9">
        <f>+'Günlük Gösterim Sayıları'!$P$8</f>
        <v>86920168</v>
      </c>
      <c r="K10" s="13">
        <f t="shared" si="2"/>
        <v>0</v>
      </c>
      <c r="L10" s="9">
        <f t="shared" si="3"/>
        <v>0</v>
      </c>
      <c r="M10" s="9">
        <f>_xlfn.XLOOKUP(C10, 'Günlük Gösterim Sayıları'!O:O, 'Günlük Gösterim Sayıları'!P:P, 86920168)</f>
        <v>0</v>
      </c>
      <c r="N10" s="13" t="e">
        <f t="shared" si="4"/>
        <v>#DIV/0!</v>
      </c>
      <c r="O10" s="9" t="e">
        <f t="shared" si="5"/>
        <v>#DIV/0!</v>
      </c>
    </row>
    <row r="11" spans="2:15" x14ac:dyDescent="0.3">
      <c r="B11" s="18"/>
      <c r="C11" s="18"/>
      <c r="D11" s="9">
        <f>SUMIFS('Günlük Gösterim Sayıları'!D:D, 'Günlük Gösterim Sayıları'!B:B, C11, 'Günlük Gösterim Sayıları'!C:C, B11)</f>
        <v>0</v>
      </c>
      <c r="E11" s="9">
        <f>_xlfn.XLOOKUP(B11, 'Günlük Gösterim Sayıları'!O:O, 'Günlük Gösterim Sayıları'!P:P, 7)</f>
        <v>0</v>
      </c>
      <c r="F11" s="17"/>
      <c r="G11" s="9">
        <f t="shared" si="0"/>
        <v>0</v>
      </c>
      <c r="H11" s="12">
        <f>SUMIFS('Günlük Gösterim Sayıları'!E:E, 'Günlük Gösterim Sayıları'!B:B, C11, 'Günlük Gösterim Sayıları'!C:C, B11)</f>
        <v>0</v>
      </c>
      <c r="I11" s="9">
        <f t="shared" si="1"/>
        <v>0</v>
      </c>
      <c r="J11" s="9">
        <f>+'Günlük Gösterim Sayıları'!$P$8</f>
        <v>86920168</v>
      </c>
      <c r="K11" s="13">
        <f t="shared" si="2"/>
        <v>0</v>
      </c>
      <c r="L11" s="9">
        <f t="shared" si="3"/>
        <v>0</v>
      </c>
      <c r="M11" s="9">
        <f>_xlfn.XLOOKUP(C11, 'Günlük Gösterim Sayıları'!O:O, 'Günlük Gösterim Sayıları'!P:P, 86920168)</f>
        <v>0</v>
      </c>
      <c r="N11" s="13" t="e">
        <f t="shared" si="4"/>
        <v>#DIV/0!</v>
      </c>
      <c r="O11" s="9" t="e">
        <f t="shared" si="5"/>
        <v>#DIV/0!</v>
      </c>
    </row>
    <row r="12" spans="2:15" x14ac:dyDescent="0.3">
      <c r="B12" s="18"/>
      <c r="C12" s="18"/>
      <c r="D12" s="9">
        <f>SUMIFS('Günlük Gösterim Sayıları'!D:D, 'Günlük Gösterim Sayıları'!B:B, C12, 'Günlük Gösterim Sayıları'!C:C, B12)</f>
        <v>0</v>
      </c>
      <c r="E12" s="9">
        <f>_xlfn.XLOOKUP(B12, 'Günlük Gösterim Sayıları'!O:O, 'Günlük Gösterim Sayıları'!P:P, 7)</f>
        <v>0</v>
      </c>
      <c r="F12" s="17"/>
      <c r="G12" s="9">
        <f t="shared" si="0"/>
        <v>0</v>
      </c>
      <c r="H12" s="12">
        <f>SUMIFS('Günlük Gösterim Sayıları'!E:E, 'Günlük Gösterim Sayıları'!B:B, C12, 'Günlük Gösterim Sayıları'!C:C, B12)</f>
        <v>0</v>
      </c>
      <c r="I12" s="9">
        <f t="shared" si="1"/>
        <v>0</v>
      </c>
      <c r="J12" s="9">
        <f>+'Günlük Gösterim Sayıları'!$P$8</f>
        <v>86920168</v>
      </c>
      <c r="K12" s="13">
        <f t="shared" si="2"/>
        <v>0</v>
      </c>
      <c r="L12" s="9">
        <f t="shared" si="3"/>
        <v>0</v>
      </c>
      <c r="M12" s="9">
        <f>_xlfn.XLOOKUP(C12, 'Günlük Gösterim Sayıları'!O:O, 'Günlük Gösterim Sayıları'!P:P, 86920168)</f>
        <v>0</v>
      </c>
      <c r="N12" s="13" t="e">
        <f t="shared" si="4"/>
        <v>#DIV/0!</v>
      </c>
      <c r="O12" s="9" t="e">
        <f t="shared" si="5"/>
        <v>#DIV/0!</v>
      </c>
    </row>
    <row r="13" spans="2:15" x14ac:dyDescent="0.3">
      <c r="B13" s="18"/>
      <c r="C13" s="18"/>
      <c r="D13" s="9">
        <f>SUMIFS('Günlük Gösterim Sayıları'!D:D, 'Günlük Gösterim Sayıları'!B:B, C13, 'Günlük Gösterim Sayıları'!C:C, B13)</f>
        <v>0</v>
      </c>
      <c r="E13" s="9">
        <f>_xlfn.XLOOKUP(B13, 'Günlük Gösterim Sayıları'!O:O, 'Günlük Gösterim Sayıları'!P:P, 7)</f>
        <v>0</v>
      </c>
      <c r="F13" s="17"/>
      <c r="G13" s="9">
        <f t="shared" si="0"/>
        <v>0</v>
      </c>
      <c r="H13" s="12">
        <f>SUMIFS('Günlük Gösterim Sayıları'!E:E, 'Günlük Gösterim Sayıları'!B:B, C13, 'Günlük Gösterim Sayıları'!C:C, B13)</f>
        <v>0</v>
      </c>
      <c r="I13" s="9">
        <f t="shared" si="1"/>
        <v>0</v>
      </c>
      <c r="J13" s="9">
        <f>+'Günlük Gösterim Sayıları'!$P$8</f>
        <v>86920168</v>
      </c>
      <c r="K13" s="13">
        <f t="shared" si="2"/>
        <v>0</v>
      </c>
      <c r="L13" s="9">
        <f t="shared" si="3"/>
        <v>0</v>
      </c>
      <c r="M13" s="9">
        <f>_xlfn.XLOOKUP(C13, 'Günlük Gösterim Sayıları'!O:O, 'Günlük Gösterim Sayıları'!P:P, 86920168)</f>
        <v>0</v>
      </c>
      <c r="N13" s="13" t="e">
        <f t="shared" si="4"/>
        <v>#DIV/0!</v>
      </c>
      <c r="O13" s="9" t="e">
        <f t="shared" si="5"/>
        <v>#DIV/0!</v>
      </c>
    </row>
    <row r="14" spans="2:15" x14ac:dyDescent="0.3">
      <c r="B14" s="2"/>
      <c r="C14" s="2"/>
      <c r="D14" s="14"/>
      <c r="E14" s="14"/>
      <c r="F14" s="14"/>
      <c r="G14" s="14"/>
      <c r="H14" s="15"/>
      <c r="I14" s="14"/>
      <c r="J14" s="14"/>
      <c r="K14" s="3"/>
      <c r="L14" s="14"/>
      <c r="M14" s="14"/>
      <c r="N14" s="3"/>
      <c r="O14" s="14"/>
    </row>
    <row r="15" spans="2:15" x14ac:dyDescent="0.3">
      <c r="B15" s="2"/>
      <c r="C15" s="2"/>
      <c r="D15" s="14"/>
      <c r="E15" s="14"/>
      <c r="F15" s="14"/>
      <c r="G15" s="14"/>
      <c r="H15" s="15"/>
      <c r="I15" s="14"/>
      <c r="J15" s="14"/>
      <c r="K15" s="3"/>
      <c r="L15" s="14"/>
      <c r="M15" s="14"/>
      <c r="N15" s="3"/>
      <c r="O15" s="14"/>
    </row>
    <row r="16" spans="2:15" x14ac:dyDescent="0.3">
      <c r="K16" s="5" t="e">
        <f>L16*K2*100/(L16+K2*100)/100</f>
        <v>#DIV/0!</v>
      </c>
      <c r="L16" s="1">
        <f>SUM(L4:L13)</f>
        <v>0</v>
      </c>
      <c r="N16" s="5" t="e">
        <f>O16*N2*100/(O16+N2*100)/100</f>
        <v>#DIV/0!</v>
      </c>
      <c r="O16" s="1" t="e">
        <f>SUM(O4:O5)</f>
        <v>#DIV/0!</v>
      </c>
    </row>
    <row r="19" spans="11:14" x14ac:dyDescent="0.3">
      <c r="K19" s="4"/>
      <c r="N19" s="4"/>
    </row>
  </sheetData>
  <mergeCells count="3">
    <mergeCell ref="M1:O1"/>
    <mergeCell ref="J1:L1"/>
    <mergeCell ref="B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13"/>
  <sheetViews>
    <sheetView showGridLines="0" zoomScale="150" zoomScaleNormal="150" workbookViewId="0">
      <selection activeCell="E30" sqref="E30"/>
    </sheetView>
  </sheetViews>
  <sheetFormatPr defaultRowHeight="14.4" x14ac:dyDescent="0.3"/>
  <cols>
    <col min="2" max="2" width="20.44140625" bestFit="1" customWidth="1"/>
    <col min="3" max="6" width="14.44140625" customWidth="1"/>
    <col min="7" max="7" width="15.33203125" bestFit="1" customWidth="1"/>
    <col min="8" max="8" width="14.6640625" bestFit="1" customWidth="1"/>
    <col min="9" max="9" width="4.88671875" bestFit="1" customWidth="1"/>
    <col min="10" max="10" width="15.44140625" bestFit="1" customWidth="1"/>
    <col min="11" max="11" width="8.6640625" bestFit="1" customWidth="1"/>
    <col min="12" max="12" width="11.44140625" bestFit="1" customWidth="1"/>
    <col min="13" max="13" width="16.109375" bestFit="1" customWidth="1"/>
    <col min="14" max="14" width="9.109375" style="2" bestFit="1" customWidth="1"/>
    <col min="15" max="15" width="4.33203125" bestFit="1" customWidth="1"/>
    <col min="16" max="16" width="16.109375" bestFit="1" customWidth="1"/>
    <col min="17" max="17" width="9.109375" style="2" bestFit="1" customWidth="1"/>
    <col min="18" max="18" width="7.6640625" bestFit="1" customWidth="1"/>
  </cols>
  <sheetData>
    <row r="1" spans="2:18" x14ac:dyDescent="0.3">
      <c r="B1" s="29" t="s">
        <v>0</v>
      </c>
      <c r="C1" s="28"/>
      <c r="D1" s="28"/>
      <c r="E1" s="28"/>
      <c r="F1" s="28"/>
      <c r="G1" s="28"/>
      <c r="M1" s="27" t="s">
        <v>1</v>
      </c>
      <c r="N1" s="27"/>
      <c r="O1" s="28"/>
      <c r="P1" s="27" t="s">
        <v>2</v>
      </c>
      <c r="Q1" s="27"/>
      <c r="R1" s="28"/>
    </row>
    <row r="2" spans="2:18" x14ac:dyDescent="0.3">
      <c r="B2" s="30"/>
      <c r="C2" s="30"/>
      <c r="D2" s="30"/>
      <c r="E2" s="30"/>
      <c r="F2" s="30"/>
      <c r="G2" s="30"/>
      <c r="M2" t="s">
        <v>3</v>
      </c>
      <c r="N2" s="3">
        <v>0.25</v>
      </c>
      <c r="P2" t="s">
        <v>3</v>
      </c>
      <c r="Q2" s="3">
        <v>0.7</v>
      </c>
    </row>
    <row r="3" spans="2:18" x14ac:dyDescent="0.3">
      <c r="B3" s="16" t="s">
        <v>4</v>
      </c>
      <c r="C3" s="16" t="s">
        <v>5</v>
      </c>
      <c r="D3" s="16" t="s">
        <v>6</v>
      </c>
      <c r="E3" s="16" t="s">
        <v>7</v>
      </c>
      <c r="F3" s="16" t="s">
        <v>8</v>
      </c>
      <c r="G3" s="16" t="s">
        <v>9</v>
      </c>
      <c r="H3" s="16" t="s">
        <v>10</v>
      </c>
      <c r="I3" s="16" t="s">
        <v>11</v>
      </c>
      <c r="J3" s="16" t="s">
        <v>12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16" t="s">
        <v>15</v>
      </c>
      <c r="Q3" s="16" t="s">
        <v>16</v>
      </c>
      <c r="R3" s="16" t="s">
        <v>17</v>
      </c>
    </row>
    <row r="4" spans="2:18" x14ac:dyDescent="0.3">
      <c r="B4" s="18" t="s">
        <v>18</v>
      </c>
      <c r="C4" s="18" t="s">
        <v>19</v>
      </c>
      <c r="D4" s="18" t="s">
        <v>20</v>
      </c>
      <c r="E4" s="19">
        <v>46023</v>
      </c>
      <c r="F4" s="20">
        <v>2500000</v>
      </c>
      <c r="G4" s="9">
        <f>SUMIFS('Günlük Gösterim Sayıları'!D:D, 'Günlük Gösterim Sayıları'!B:B, C4, 'Günlük Gösterim Sayıları'!C:C, B4)</f>
        <v>17412</v>
      </c>
      <c r="H4" s="9">
        <f>_xlfn.XLOOKUP(B4, 'Günlük Gösterim Sayıları'!O:O, 'Günlük Gösterim Sayıları'!P:P, 7)</f>
        <v>1</v>
      </c>
      <c r="I4" s="17">
        <v>400</v>
      </c>
      <c r="J4" s="9">
        <f t="shared" ref="J4:J9" si="0">+G4*H4*I4</f>
        <v>6964800</v>
      </c>
      <c r="K4" s="12">
        <f>SUMIFS('Günlük Gösterim Sayıları'!E:E, 'Günlük Gösterim Sayıları'!B:B, C4, 'Günlük Gösterim Sayıları'!C:C, B4)</f>
        <v>17</v>
      </c>
      <c r="L4" s="9">
        <f t="shared" ref="L4:L9" si="1">IF(K4=0, 0, J4/K4)</f>
        <v>409694.1176470588</v>
      </c>
      <c r="M4" s="9">
        <f>+'Günlük Gösterim Sayıları'!$P$8</f>
        <v>86920168</v>
      </c>
      <c r="N4" s="13">
        <f t="shared" ref="N4:N9" si="2">L4/M4</f>
        <v>4.7134528967668213E-3</v>
      </c>
      <c r="O4" s="9">
        <f t="shared" ref="O4:O9" si="3">+J4/M4*100</f>
        <v>8.0128699245035975</v>
      </c>
      <c r="P4" s="9">
        <f>_xlfn.XLOOKUP(C4, 'Günlük Gösterim Sayıları'!O:O, 'Günlük Gösterim Sayıları'!P:P, 86920168)</f>
        <v>15754053</v>
      </c>
      <c r="Q4" s="13">
        <f t="shared" ref="Q4:Q9" si="4">+L4/P4</f>
        <v>2.6005632813794571E-2</v>
      </c>
      <c r="R4" s="9">
        <f t="shared" ref="R4:R9" si="5">+J4/P4*100</f>
        <v>44.209575783450774</v>
      </c>
    </row>
    <row r="5" spans="2:18" x14ac:dyDescent="0.3">
      <c r="B5" s="18" t="s">
        <v>18</v>
      </c>
      <c r="C5" s="18" t="s">
        <v>21</v>
      </c>
      <c r="D5" s="18" t="s">
        <v>20</v>
      </c>
      <c r="E5" s="19">
        <v>46023</v>
      </c>
      <c r="F5" s="20">
        <v>1214200</v>
      </c>
      <c r="G5" s="9">
        <f>SUMIFS('Günlük Gösterim Sayıları'!D:D, 'Günlük Gösterim Sayıları'!B:B, C5, 'Günlük Gösterim Sayıları'!C:C, B5)</f>
        <v>19621.821428571431</v>
      </c>
      <c r="H5" s="9">
        <f>_xlfn.XLOOKUP(B5, 'Günlük Gösterim Sayıları'!O:O, 'Günlük Gösterim Sayıları'!P:P, 7)</f>
        <v>1</v>
      </c>
      <c r="I5" s="17">
        <v>200</v>
      </c>
      <c r="J5" s="9">
        <f t="shared" si="0"/>
        <v>3924364.2857142864</v>
      </c>
      <c r="K5" s="12">
        <f ca="1">SUMIFS('Günlük Gösterim Sayıları'!E:E, 'Günlük Gösterim Sayıları'!B:B, C5, 'Günlük Gösterim Sayıları'!C:C, B5)</f>
        <v>19.89</v>
      </c>
      <c r="L5" s="9">
        <f t="shared" ca="1" si="1"/>
        <v>0</v>
      </c>
      <c r="M5" s="9">
        <f>+'Günlük Gösterim Sayıları'!P8</f>
        <v>86920168</v>
      </c>
      <c r="N5" s="13">
        <f t="shared" ca="1" si="2"/>
        <v>0</v>
      </c>
      <c r="O5" s="9">
        <f t="shared" si="3"/>
        <v>4.5149064664880614</v>
      </c>
      <c r="P5" s="9">
        <f>_xlfn.XLOOKUP(C5, 'Günlük Gösterim Sayıları'!O:O, 'Günlük Gösterim Sayıları'!P:P, 86920168)</f>
        <v>5910320</v>
      </c>
      <c r="Q5" s="13">
        <f t="shared" ca="1" si="4"/>
        <v>0</v>
      </c>
      <c r="R5" s="9">
        <f t="shared" si="5"/>
        <v>66.398507791698023</v>
      </c>
    </row>
    <row r="6" spans="2:18" x14ac:dyDescent="0.3">
      <c r="B6" s="18" t="s">
        <v>18</v>
      </c>
      <c r="C6" s="18" t="s">
        <v>22</v>
      </c>
      <c r="D6" s="18" t="s">
        <v>20</v>
      </c>
      <c r="E6" s="19">
        <v>46023</v>
      </c>
      <c r="F6" s="20">
        <v>1023020</v>
      </c>
      <c r="G6" s="9">
        <f>SUMIFS('Günlük Gösterim Sayıları'!D:D, 'Günlük Gösterim Sayıları'!B:B, C6, 'Günlük Gösterim Sayıları'!C:C, B6)</f>
        <v>10800.293333333329</v>
      </c>
      <c r="H6" s="9">
        <f>_xlfn.XLOOKUP(B6, 'Günlük Gösterim Sayıları'!O:O, 'Günlük Gösterim Sayıları'!P:P, 7)</f>
        <v>1</v>
      </c>
      <c r="I6" s="17">
        <v>100</v>
      </c>
      <c r="J6" s="9">
        <f t="shared" si="0"/>
        <v>1080029.333333333</v>
      </c>
      <c r="K6" s="12">
        <f ca="1">SUMIFS('Günlük Gösterim Sayıları'!E:E, 'Günlük Gösterim Sayıları'!B:B, C6, 'Günlük Gösterim Sayıları'!C:C, B6)</f>
        <v>21.59</v>
      </c>
      <c r="L6" s="9">
        <f t="shared" ca="1" si="1"/>
        <v>0</v>
      </c>
      <c r="M6" s="9">
        <f>+'Günlük Gösterim Sayıları'!$P$8</f>
        <v>86920168</v>
      </c>
      <c r="N6" s="13">
        <f t="shared" ca="1" si="2"/>
        <v>0</v>
      </c>
      <c r="O6" s="9">
        <f t="shared" si="3"/>
        <v>1.2425532050666688</v>
      </c>
      <c r="P6" s="9">
        <f>_xlfn.XLOOKUP(C6, 'Günlük Gösterim Sayıları'!O:O, 'Günlük Gösterim Sayıları'!P:P, 86920168)</f>
        <v>3263011</v>
      </c>
      <c r="Q6" s="13">
        <f t="shared" ca="1" si="4"/>
        <v>0</v>
      </c>
      <c r="R6" s="9">
        <f t="shared" si="5"/>
        <v>33.099163114477179</v>
      </c>
    </row>
    <row r="7" spans="2:18" x14ac:dyDescent="0.3">
      <c r="B7" s="18" t="s">
        <v>18</v>
      </c>
      <c r="C7" s="18" t="s">
        <v>23</v>
      </c>
      <c r="D7" s="18" t="s">
        <v>20</v>
      </c>
      <c r="E7" s="19">
        <v>46023</v>
      </c>
      <c r="F7" s="20">
        <v>2322000</v>
      </c>
      <c r="G7" s="9">
        <f>SUMIFS('Günlük Gösterim Sayıları'!D:D, 'Günlük Gösterim Sayıları'!B:B, C7, 'Günlük Gösterim Sayıları'!C:C, B7)</f>
        <v>12424.1706122449</v>
      </c>
      <c r="H7" s="9">
        <f>_xlfn.XLOOKUP(B7, 'Günlük Gösterim Sayıları'!O:O, 'Günlük Gösterim Sayıları'!P:P, 7)</f>
        <v>1</v>
      </c>
      <c r="I7" s="17">
        <v>100</v>
      </c>
      <c r="J7" s="9">
        <f t="shared" si="0"/>
        <v>1242417.0612244899</v>
      </c>
      <c r="K7" s="12">
        <f ca="1">SUMIFS('Günlük Gösterim Sayıları'!E:E, 'Günlük Gösterim Sayıları'!B:B, C7, 'Günlük Gösterim Sayıları'!C:C, B7)</f>
        <v>23.459999999999997</v>
      </c>
      <c r="L7" s="9">
        <f t="shared" ca="1" si="1"/>
        <v>0</v>
      </c>
      <c r="M7" s="9">
        <f>+'Günlük Gösterim Sayıları'!$P$8</f>
        <v>86920168</v>
      </c>
      <c r="N7" s="13">
        <f t="shared" ca="1" si="2"/>
        <v>0</v>
      </c>
      <c r="O7" s="9">
        <f t="shared" si="3"/>
        <v>1.4293771972742735</v>
      </c>
      <c r="P7" s="9">
        <f>_xlfn.XLOOKUP(C7, 'Günlük Gösterim Sayıları'!O:O, 'Günlük Gösterim Sayıları'!P:P, 86920168)</f>
        <v>2777677</v>
      </c>
      <c r="Q7" s="13">
        <f t="shared" ca="1" si="4"/>
        <v>0</v>
      </c>
      <c r="R7" s="9">
        <f t="shared" si="5"/>
        <v>44.72863695903051</v>
      </c>
    </row>
    <row r="8" spans="2:18" x14ac:dyDescent="0.3">
      <c r="B8" s="18" t="s">
        <v>24</v>
      </c>
      <c r="C8" s="18" t="s">
        <v>19</v>
      </c>
      <c r="D8" s="18" t="s">
        <v>20</v>
      </c>
      <c r="E8" s="19">
        <v>46023</v>
      </c>
      <c r="F8" s="20">
        <v>1420000</v>
      </c>
      <c r="G8" s="9">
        <f>SUMIFS('Günlük Gösterim Sayıları'!D:D, 'Günlük Gösterim Sayıları'!B:B, C8, 'Günlük Gösterim Sayıları'!C:C, B8)</f>
        <v>100000</v>
      </c>
      <c r="H8" s="9">
        <f>_xlfn.XLOOKUP(B8, 'Günlük Gösterim Sayıları'!O:O, 'Günlük Gösterim Sayıları'!P:P, 7)</f>
        <v>1</v>
      </c>
      <c r="I8" s="17">
        <v>10</v>
      </c>
      <c r="J8" s="9">
        <f t="shared" si="0"/>
        <v>1000000</v>
      </c>
      <c r="K8" s="12">
        <f>SUMIFS('Günlük Gösterim Sayıları'!E:E, 'Günlük Gösterim Sayıları'!B:B, C8, 'Günlük Gösterim Sayıları'!C:C, B8)</f>
        <v>3.4</v>
      </c>
      <c r="L8" s="9">
        <f t="shared" si="1"/>
        <v>294117.64705882355</v>
      </c>
      <c r="M8" s="9">
        <f>+'Günlük Gösterim Sayıları'!$P$8</f>
        <v>86920168</v>
      </c>
      <c r="N8" s="13">
        <f t="shared" si="2"/>
        <v>3.3837675861236663E-3</v>
      </c>
      <c r="O8" s="9">
        <f t="shared" si="3"/>
        <v>1.1504809792820465</v>
      </c>
      <c r="P8" s="9">
        <f>_xlfn.XLOOKUP(C8, 'Günlük Gösterim Sayıları'!O:O, 'Günlük Gösterim Sayıları'!P:P, 86920168)</f>
        <v>15754053</v>
      </c>
      <c r="Q8" s="13">
        <f t="shared" si="4"/>
        <v>1.8669332079739961E-2</v>
      </c>
      <c r="R8" s="9">
        <f t="shared" si="5"/>
        <v>6.3475729071115854</v>
      </c>
    </row>
    <row r="9" spans="2:18" x14ac:dyDescent="0.3">
      <c r="B9" s="18" t="s">
        <v>25</v>
      </c>
      <c r="C9" s="18" t="s">
        <v>19</v>
      </c>
      <c r="D9" s="18" t="s">
        <v>20</v>
      </c>
      <c r="E9" s="19">
        <v>46023</v>
      </c>
      <c r="F9" s="20">
        <v>2424212</v>
      </c>
      <c r="G9" s="9">
        <f>SUMIFS('Günlük Gösterim Sayıları'!D:D, 'Günlük Gösterim Sayıları'!B:B, C9, 'Günlük Gösterim Sayıları'!C:C, B9)</f>
        <v>150000</v>
      </c>
      <c r="H9" s="9">
        <f>_xlfn.XLOOKUP(B9, 'Günlük Gösterim Sayıları'!O:O, 'Günlük Gösterim Sayıları'!P:P, 7)</f>
        <v>1</v>
      </c>
      <c r="I9" s="17">
        <v>5</v>
      </c>
      <c r="J9" s="9">
        <f t="shared" si="0"/>
        <v>750000</v>
      </c>
      <c r="K9" s="12">
        <f>SUMIFS('Günlük Gösterim Sayıları'!E:E, 'Günlük Gösterim Sayıları'!B:B, C9, 'Günlük Gösterim Sayıları'!C:C, B9)</f>
        <v>4</v>
      </c>
      <c r="L9" s="9">
        <f t="shared" si="1"/>
        <v>187500</v>
      </c>
      <c r="M9" s="9">
        <f>+'Günlük Gösterim Sayıları'!$P$8</f>
        <v>86920168</v>
      </c>
      <c r="N9" s="13">
        <f t="shared" si="2"/>
        <v>2.1571518361538371E-3</v>
      </c>
      <c r="O9" s="9">
        <f t="shared" si="3"/>
        <v>0.86286073446153488</v>
      </c>
      <c r="P9" s="9">
        <f>_xlfn.XLOOKUP(C9, 'Günlük Gösterim Sayıları'!O:O, 'Günlük Gösterim Sayıları'!P:P, 86920168)</f>
        <v>15754053</v>
      </c>
      <c r="Q9" s="13">
        <f t="shared" si="4"/>
        <v>1.1901699200834224E-2</v>
      </c>
      <c r="R9" s="9">
        <f t="shared" si="5"/>
        <v>4.7606796803336895</v>
      </c>
    </row>
    <row r="10" spans="2:18" x14ac:dyDescent="0.3">
      <c r="N10" s="5">
        <f>O10*N2*100/(O10+N2*100)/100</f>
        <v>0.10194151521768652</v>
      </c>
      <c r="O10" s="1">
        <f>SUM(O4:O9)</f>
        <v>17.213048507076181</v>
      </c>
      <c r="Q10" s="5">
        <f>R10*Q2*100/(R10+Q2*100)/100</f>
        <v>0.51821158981889548</v>
      </c>
      <c r="R10" s="1">
        <f>SUM(R4:R9)</f>
        <v>199.54413623610176</v>
      </c>
    </row>
    <row r="13" spans="2:18" x14ac:dyDescent="0.3">
      <c r="N13" s="4"/>
      <c r="Q13" s="4"/>
    </row>
  </sheetData>
  <mergeCells count="3">
    <mergeCell ref="M1:O1"/>
    <mergeCell ref="P1:R1"/>
    <mergeCell ref="B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79"/>
  <sheetViews>
    <sheetView showGridLines="0" tabSelected="1" zoomScale="70" zoomScaleNormal="70" workbookViewId="0">
      <selection activeCell="M16" sqref="M16"/>
    </sheetView>
  </sheetViews>
  <sheetFormatPr defaultRowHeight="14.4" x14ac:dyDescent="0.3"/>
  <cols>
    <col min="2" max="2" width="13.109375" bestFit="1" customWidth="1"/>
    <col min="3" max="3" width="24.5546875" bestFit="1" customWidth="1"/>
    <col min="4" max="4" width="21.6640625" bestFit="1" customWidth="1"/>
    <col min="6" max="6" width="13.6640625" bestFit="1" customWidth="1"/>
    <col min="8" max="8" width="19.5546875" bestFit="1" customWidth="1"/>
    <col min="15" max="15" width="24.5546875" bestFit="1" customWidth="1"/>
    <col min="16" max="16" width="14.6640625" bestFit="1" customWidth="1"/>
    <col min="17" max="17" width="14.21875" bestFit="1" customWidth="1"/>
  </cols>
  <sheetData>
    <row r="2" spans="2:17" x14ac:dyDescent="0.3">
      <c r="B2" s="7" t="s">
        <v>5</v>
      </c>
      <c r="C2" s="7" t="s">
        <v>4</v>
      </c>
      <c r="D2" s="7" t="s">
        <v>28</v>
      </c>
      <c r="E2" s="7" t="s">
        <v>13</v>
      </c>
      <c r="F2" s="7" t="s">
        <v>38</v>
      </c>
      <c r="G2" s="21" t="s">
        <v>39</v>
      </c>
      <c r="H2" s="21" t="s">
        <v>40</v>
      </c>
      <c r="I2" s="21" t="s">
        <v>28</v>
      </c>
      <c r="J2" s="21" t="s">
        <v>41</v>
      </c>
      <c r="K2" s="21" t="s">
        <v>13</v>
      </c>
      <c r="O2" s="7" t="s">
        <v>5</v>
      </c>
      <c r="P2" s="7" t="s">
        <v>29</v>
      </c>
    </row>
    <row r="3" spans="2:17" x14ac:dyDescent="0.3">
      <c r="B3" s="8" t="s">
        <v>19</v>
      </c>
      <c r="C3" s="8" t="s">
        <v>18</v>
      </c>
      <c r="D3" s="9">
        <v>17412</v>
      </c>
      <c r="E3" s="10">
        <v>17</v>
      </c>
      <c r="F3" s="8">
        <v>400</v>
      </c>
      <c r="G3" s="22">
        <v>1</v>
      </c>
      <c r="H3" s="8">
        <v>0</v>
      </c>
      <c r="I3" s="9">
        <f>+D3*G3</f>
        <v>17412</v>
      </c>
      <c r="J3" s="9">
        <v>1</v>
      </c>
      <c r="K3" s="10">
        <f>E3 * (H3 / F3)^0.55 * G3 * (J3^0.8)</f>
        <v>0</v>
      </c>
      <c r="O3" s="9" t="s">
        <v>19</v>
      </c>
      <c r="P3" s="9">
        <v>15754053</v>
      </c>
      <c r="Q3" s="6">
        <f>+P3/P8</f>
        <v>0.18124738323101261</v>
      </c>
    </row>
    <row r="4" spans="2:17" x14ac:dyDescent="0.3">
      <c r="B4" s="8" t="s">
        <v>21</v>
      </c>
      <c r="C4" s="8" t="s">
        <v>18</v>
      </c>
      <c r="D4" s="9">
        <v>19621.821428571431</v>
      </c>
      <c r="E4" s="10">
        <f ca="1">+$E$4*M4</f>
        <v>19.89</v>
      </c>
      <c r="F4" s="8">
        <v>400</v>
      </c>
      <c r="G4" s="22">
        <v>1</v>
      </c>
      <c r="H4" s="8">
        <v>0</v>
      </c>
      <c r="I4" s="9">
        <f t="shared" ref="I4:I67" si="0">+D4</f>
        <v>19621.821428571431</v>
      </c>
      <c r="J4" s="9">
        <v>1</v>
      </c>
      <c r="K4" s="10">
        <f t="shared" ref="K4:K67" ca="1" si="1">E4 * (H4 / F4)^0.55 * G4 * (J4^0.8)</f>
        <v>0</v>
      </c>
      <c r="L4" s="6"/>
      <c r="M4" s="8">
        <v>1.17</v>
      </c>
      <c r="O4" s="9" t="s">
        <v>21</v>
      </c>
      <c r="P4" s="9">
        <v>5910320</v>
      </c>
      <c r="Q4" s="6">
        <f>+P4/P8</f>
        <v>6.7997107414702648E-2</v>
      </c>
    </row>
    <row r="5" spans="2:17" x14ac:dyDescent="0.3">
      <c r="B5" s="8" t="s">
        <v>26</v>
      </c>
      <c r="C5" s="8" t="s">
        <v>18</v>
      </c>
      <c r="D5" s="9">
        <v>16884.661428571431</v>
      </c>
      <c r="E5" s="10">
        <f ca="1">+$E$4*M5</f>
        <v>20.57</v>
      </c>
      <c r="F5" s="8">
        <v>400</v>
      </c>
      <c r="G5" s="22">
        <v>1</v>
      </c>
      <c r="H5" s="8">
        <v>0</v>
      </c>
      <c r="I5" s="9">
        <f t="shared" si="0"/>
        <v>16884.661428571431</v>
      </c>
      <c r="J5" s="9">
        <v>1</v>
      </c>
      <c r="K5" s="10">
        <f t="shared" ca="1" si="1"/>
        <v>0</v>
      </c>
      <c r="L5" s="6"/>
      <c r="M5" s="8">
        <v>1.21</v>
      </c>
      <c r="O5" s="9" t="s">
        <v>26</v>
      </c>
      <c r="P5" s="9">
        <v>4504185</v>
      </c>
      <c r="Q5" s="6">
        <f>+P5/P8</f>
        <v>5.1819791696675048E-2</v>
      </c>
    </row>
    <row r="6" spans="2:17" x14ac:dyDescent="0.3">
      <c r="B6" s="8" t="s">
        <v>22</v>
      </c>
      <c r="C6" s="8" t="s">
        <v>18</v>
      </c>
      <c r="D6" s="9">
        <v>10800.293333333329</v>
      </c>
      <c r="E6" s="10">
        <f ca="1">+$E$4*M6</f>
        <v>21.59</v>
      </c>
      <c r="F6" s="8">
        <v>400</v>
      </c>
      <c r="G6" s="22">
        <v>1</v>
      </c>
      <c r="H6" s="8">
        <v>0</v>
      </c>
      <c r="I6" s="9">
        <f t="shared" si="0"/>
        <v>10800.293333333329</v>
      </c>
      <c r="J6" s="9">
        <v>1</v>
      </c>
      <c r="K6" s="10">
        <f t="shared" ca="1" si="1"/>
        <v>0</v>
      </c>
      <c r="L6" s="6"/>
      <c r="M6" s="8">
        <v>1.27</v>
      </c>
      <c r="O6" s="9" t="s">
        <v>22</v>
      </c>
      <c r="P6" s="9">
        <v>3263011</v>
      </c>
      <c r="Q6" s="6">
        <f>+P6/P8</f>
        <v>3.7540320906880899E-2</v>
      </c>
    </row>
    <row r="7" spans="2:17" x14ac:dyDescent="0.3">
      <c r="B7" s="8" t="s">
        <v>23</v>
      </c>
      <c r="C7" s="8" t="s">
        <v>18</v>
      </c>
      <c r="D7" s="9">
        <v>12424.1706122449</v>
      </c>
      <c r="E7" s="10">
        <f ca="1">+$E$4*M7</f>
        <v>23.459999999999997</v>
      </c>
      <c r="F7" s="8">
        <v>400</v>
      </c>
      <c r="G7" s="22">
        <v>1</v>
      </c>
      <c r="H7" s="8">
        <v>0</v>
      </c>
      <c r="I7" s="9">
        <f t="shared" si="0"/>
        <v>12424.1706122449</v>
      </c>
      <c r="J7" s="9">
        <v>1</v>
      </c>
      <c r="K7" s="10">
        <f t="shared" ca="1" si="1"/>
        <v>0</v>
      </c>
      <c r="L7" s="6"/>
      <c r="M7" s="8">
        <v>1.38</v>
      </c>
      <c r="O7" s="9" t="s">
        <v>23</v>
      </c>
      <c r="P7" s="9">
        <v>2777677</v>
      </c>
      <c r="Q7" s="6">
        <f>+P7/P8</f>
        <v>3.1956645550892171E-2</v>
      </c>
    </row>
    <row r="8" spans="2:17" x14ac:dyDescent="0.3">
      <c r="B8" s="8" t="s">
        <v>30</v>
      </c>
      <c r="C8" s="8" t="s">
        <v>18</v>
      </c>
      <c r="D8" s="9">
        <v>9000</v>
      </c>
      <c r="E8" s="10">
        <f ca="1">+$E$4*M8</f>
        <v>27.709999999999997</v>
      </c>
      <c r="F8" s="8">
        <v>400</v>
      </c>
      <c r="G8" s="22">
        <v>1</v>
      </c>
      <c r="H8" s="8">
        <v>0</v>
      </c>
      <c r="I8" s="9">
        <f t="shared" si="0"/>
        <v>9000</v>
      </c>
      <c r="J8" s="9">
        <v>1</v>
      </c>
      <c r="K8" s="10">
        <f t="shared" ca="1" si="1"/>
        <v>0</v>
      </c>
      <c r="L8" s="6"/>
      <c r="M8" s="8">
        <v>1.63</v>
      </c>
      <c r="O8" s="9" t="s">
        <v>31</v>
      </c>
      <c r="P8" s="9">
        <v>86920168</v>
      </c>
    </row>
    <row r="9" spans="2:17" x14ac:dyDescent="0.3">
      <c r="B9" s="8" t="s">
        <v>19</v>
      </c>
      <c r="C9" s="8" t="s">
        <v>27</v>
      </c>
      <c r="D9" s="9">
        <v>50163</v>
      </c>
      <c r="E9" s="10">
        <v>13</v>
      </c>
      <c r="F9" s="8">
        <v>200</v>
      </c>
      <c r="G9" s="22">
        <v>1</v>
      </c>
      <c r="H9" s="8">
        <v>0</v>
      </c>
      <c r="I9" s="9">
        <f t="shared" si="0"/>
        <v>50163</v>
      </c>
      <c r="J9" s="9">
        <v>1</v>
      </c>
      <c r="K9" s="10">
        <f t="shared" si="1"/>
        <v>0</v>
      </c>
    </row>
    <row r="10" spans="2:17" x14ac:dyDescent="0.3">
      <c r="B10" s="8" t="s">
        <v>21</v>
      </c>
      <c r="C10" s="8" t="s">
        <v>27</v>
      </c>
      <c r="D10" s="9">
        <v>56529.372175593177</v>
      </c>
      <c r="E10" s="10">
        <f>+E9*1.177</f>
        <v>15.301</v>
      </c>
      <c r="F10" s="8">
        <v>200</v>
      </c>
      <c r="G10" s="22">
        <v>1</v>
      </c>
      <c r="H10" s="8">
        <v>0</v>
      </c>
      <c r="I10" s="9">
        <f t="shared" si="0"/>
        <v>56529.372175593177</v>
      </c>
      <c r="J10" s="9">
        <v>1</v>
      </c>
      <c r="K10" s="10">
        <f t="shared" si="1"/>
        <v>0</v>
      </c>
    </row>
    <row r="11" spans="2:17" x14ac:dyDescent="0.3">
      <c r="B11" s="8" t="s">
        <v>26</v>
      </c>
      <c r="C11" s="8" t="s">
        <v>27</v>
      </c>
      <c r="D11" s="9">
        <v>48643.767013635923</v>
      </c>
      <c r="E11" s="10">
        <f>+E9*1.21</f>
        <v>15.73</v>
      </c>
      <c r="F11" s="8">
        <v>200</v>
      </c>
      <c r="G11" s="22">
        <v>1</v>
      </c>
      <c r="H11" s="8">
        <v>0</v>
      </c>
      <c r="I11" s="9">
        <f t="shared" si="0"/>
        <v>48643.767013635923</v>
      </c>
      <c r="J11" s="9">
        <v>1</v>
      </c>
      <c r="K11" s="10">
        <f t="shared" si="1"/>
        <v>0</v>
      </c>
    </row>
    <row r="12" spans="2:17" x14ac:dyDescent="0.3">
      <c r="B12" s="8" t="s">
        <v>22</v>
      </c>
      <c r="C12" s="8" t="s">
        <v>27</v>
      </c>
      <c r="D12" s="9">
        <v>31115.04218240294</v>
      </c>
      <c r="E12" s="10">
        <f>+E9*1.27</f>
        <v>16.510000000000002</v>
      </c>
      <c r="F12" s="8">
        <v>200</v>
      </c>
      <c r="G12" s="22">
        <v>1</v>
      </c>
      <c r="H12" s="8">
        <v>0</v>
      </c>
      <c r="I12" s="9">
        <f t="shared" si="0"/>
        <v>31115.04218240294</v>
      </c>
      <c r="J12" s="9">
        <v>1</v>
      </c>
      <c r="K12" s="10">
        <f t="shared" si="1"/>
        <v>0</v>
      </c>
    </row>
    <row r="13" spans="2:17" x14ac:dyDescent="0.3">
      <c r="B13" s="8" t="s">
        <v>23</v>
      </c>
      <c r="C13" s="8" t="s">
        <v>27</v>
      </c>
      <c r="D13" s="9">
        <v>35793.34197232029</v>
      </c>
      <c r="E13" s="10">
        <f>+E9*1.38</f>
        <v>17.939999999999998</v>
      </c>
      <c r="F13" s="8">
        <v>200</v>
      </c>
      <c r="G13" s="22">
        <v>1</v>
      </c>
      <c r="H13" s="8">
        <v>0</v>
      </c>
      <c r="I13" s="9">
        <f t="shared" si="0"/>
        <v>35793.34197232029</v>
      </c>
      <c r="J13" s="9">
        <v>1</v>
      </c>
      <c r="K13" s="10">
        <f t="shared" si="1"/>
        <v>0</v>
      </c>
    </row>
    <row r="14" spans="2:17" x14ac:dyDescent="0.3">
      <c r="B14" s="8" t="s">
        <v>30</v>
      </c>
      <c r="C14" s="8" t="s">
        <v>27</v>
      </c>
      <c r="D14" s="9">
        <v>25928.497587870439</v>
      </c>
      <c r="E14" s="10">
        <f>+E9*1.63</f>
        <v>21.189999999999998</v>
      </c>
      <c r="F14" s="8">
        <v>200</v>
      </c>
      <c r="G14" s="22">
        <v>1</v>
      </c>
      <c r="H14" s="8">
        <v>0</v>
      </c>
      <c r="I14" s="9">
        <f t="shared" si="0"/>
        <v>25928.497587870439</v>
      </c>
      <c r="J14" s="9">
        <v>1</v>
      </c>
      <c r="K14" s="10">
        <f t="shared" si="1"/>
        <v>0</v>
      </c>
    </row>
    <row r="15" spans="2:17" x14ac:dyDescent="0.3">
      <c r="B15" s="8" t="s">
        <v>19</v>
      </c>
      <c r="C15" s="8" t="s">
        <v>32</v>
      </c>
      <c r="D15" s="9">
        <v>21175</v>
      </c>
      <c r="E15" s="10">
        <v>3.8</v>
      </c>
      <c r="F15" s="8">
        <v>50</v>
      </c>
      <c r="G15" s="22">
        <v>1</v>
      </c>
      <c r="H15" s="8">
        <v>0</v>
      </c>
      <c r="I15" s="9">
        <f t="shared" si="0"/>
        <v>21175</v>
      </c>
      <c r="J15" s="9">
        <v>1</v>
      </c>
      <c r="K15" s="10">
        <f t="shared" si="1"/>
        <v>0</v>
      </c>
    </row>
    <row r="16" spans="2:17" x14ac:dyDescent="0.3">
      <c r="B16" s="8" t="s">
        <v>21</v>
      </c>
      <c r="C16" s="8" t="s">
        <v>32</v>
      </c>
      <c r="D16" s="9">
        <v>23862.397699862158</v>
      </c>
      <c r="E16" s="10">
        <f>+E15*1.17</f>
        <v>4.4459999999999997</v>
      </c>
      <c r="F16" s="8">
        <v>50</v>
      </c>
      <c r="G16" s="22">
        <v>1</v>
      </c>
      <c r="H16" s="8">
        <v>0</v>
      </c>
      <c r="I16" s="9">
        <f t="shared" si="0"/>
        <v>23862.397699862158</v>
      </c>
      <c r="J16" s="9">
        <v>1</v>
      </c>
      <c r="K16" s="10">
        <f t="shared" si="1"/>
        <v>0</v>
      </c>
    </row>
    <row r="17" spans="2:17" x14ac:dyDescent="0.3">
      <c r="B17" s="8" t="s">
        <v>26</v>
      </c>
      <c r="C17" s="8" t="s">
        <v>32</v>
      </c>
      <c r="D17" s="9">
        <v>20533.695483000229</v>
      </c>
      <c r="E17" s="10">
        <f>+E15*1.21</f>
        <v>4.5979999999999999</v>
      </c>
      <c r="F17" s="8">
        <v>50</v>
      </c>
      <c r="G17" s="22">
        <v>1</v>
      </c>
      <c r="H17" s="8">
        <v>0</v>
      </c>
      <c r="I17" s="9">
        <f t="shared" si="0"/>
        <v>20533.695483000229</v>
      </c>
      <c r="J17" s="9">
        <v>1</v>
      </c>
      <c r="K17" s="10">
        <f t="shared" si="1"/>
        <v>0</v>
      </c>
    </row>
    <row r="18" spans="2:17" x14ac:dyDescent="0.3">
      <c r="B18" s="8" t="s">
        <v>22</v>
      </c>
      <c r="C18" s="8" t="s">
        <v>32</v>
      </c>
      <c r="D18" s="9">
        <v>13134.40221303316</v>
      </c>
      <c r="E18" s="10">
        <f>+E15*1.27</f>
        <v>4.8259999999999996</v>
      </c>
      <c r="F18" s="8">
        <v>50</v>
      </c>
      <c r="G18" s="22">
        <v>1</v>
      </c>
      <c r="H18" s="8">
        <v>0</v>
      </c>
      <c r="I18" s="9">
        <f t="shared" si="0"/>
        <v>13134.40221303316</v>
      </c>
      <c r="J18" s="9">
        <v>1</v>
      </c>
      <c r="K18" s="10">
        <f t="shared" si="1"/>
        <v>0</v>
      </c>
    </row>
    <row r="19" spans="2:17" x14ac:dyDescent="0.3">
      <c r="B19" s="8" t="s">
        <v>23</v>
      </c>
      <c r="C19" s="8" t="s">
        <v>32</v>
      </c>
      <c r="D19" s="9">
        <v>15109.224254208921</v>
      </c>
      <c r="E19" s="10">
        <f>+E15*1.38</f>
        <v>5.2439999999999998</v>
      </c>
      <c r="F19" s="8">
        <v>50</v>
      </c>
      <c r="G19" s="22">
        <v>1</v>
      </c>
      <c r="H19" s="8">
        <v>0</v>
      </c>
      <c r="I19" s="9">
        <f t="shared" si="0"/>
        <v>15109.224254208921</v>
      </c>
      <c r="J19" s="9">
        <v>1</v>
      </c>
      <c r="K19" s="10">
        <f t="shared" si="1"/>
        <v>0</v>
      </c>
    </row>
    <row r="20" spans="2:17" x14ac:dyDescent="0.3">
      <c r="B20" s="8" t="s">
        <v>30</v>
      </c>
      <c r="C20" s="8" t="s">
        <v>32</v>
      </c>
      <c r="D20" s="9">
        <v>10945.037904893181</v>
      </c>
      <c r="E20" s="10">
        <f>+E15*1.63</f>
        <v>6.1939999999999991</v>
      </c>
      <c r="F20" s="8">
        <v>50</v>
      </c>
      <c r="G20" s="22">
        <v>1</v>
      </c>
      <c r="H20" s="8">
        <v>0</v>
      </c>
      <c r="I20" s="9">
        <f t="shared" si="0"/>
        <v>10945.037904893181</v>
      </c>
      <c r="J20" s="9">
        <v>1</v>
      </c>
      <c r="K20" s="10">
        <f t="shared" si="1"/>
        <v>0</v>
      </c>
    </row>
    <row r="21" spans="2:17" x14ac:dyDescent="0.3">
      <c r="B21" s="8" t="s">
        <v>19</v>
      </c>
      <c r="C21" s="8" t="s">
        <v>33</v>
      </c>
      <c r="D21" s="9">
        <v>42351</v>
      </c>
      <c r="E21" s="10">
        <v>5.2</v>
      </c>
      <c r="F21" s="8">
        <v>50</v>
      </c>
      <c r="G21" s="22">
        <v>1</v>
      </c>
      <c r="H21" s="8">
        <v>0</v>
      </c>
      <c r="I21" s="9">
        <f t="shared" si="0"/>
        <v>42351</v>
      </c>
      <c r="J21" s="9">
        <v>1</v>
      </c>
      <c r="K21" s="10">
        <f t="shared" si="1"/>
        <v>0</v>
      </c>
    </row>
    <row r="22" spans="2:17" x14ac:dyDescent="0.3">
      <c r="B22" s="8" t="s">
        <v>21</v>
      </c>
      <c r="C22" s="8" t="s">
        <v>33</v>
      </c>
      <c r="D22" s="9">
        <v>47725.922313429161</v>
      </c>
      <c r="E22" s="10">
        <f ca="1">+$E$22*M4</f>
        <v>6.0839999999999996</v>
      </c>
      <c r="F22" s="8">
        <v>50</v>
      </c>
      <c r="G22" s="22">
        <v>1</v>
      </c>
      <c r="H22" s="8">
        <v>0</v>
      </c>
      <c r="I22" s="9">
        <f t="shared" si="0"/>
        <v>47725.922313429161</v>
      </c>
      <c r="J22" s="9">
        <v>1</v>
      </c>
      <c r="K22" s="10">
        <f t="shared" ca="1" si="1"/>
        <v>0</v>
      </c>
    </row>
    <row r="23" spans="2:17" x14ac:dyDescent="0.3">
      <c r="B23" s="8" t="s">
        <v>26</v>
      </c>
      <c r="C23" s="8" t="s">
        <v>33</v>
      </c>
      <c r="D23" s="9">
        <v>41068.360680072859</v>
      </c>
      <c r="E23" s="10">
        <f ca="1">+$E$22*M5</f>
        <v>6.2919999999999998</v>
      </c>
      <c r="F23" s="8">
        <v>50</v>
      </c>
      <c r="G23" s="22">
        <v>1</v>
      </c>
      <c r="H23" s="8">
        <v>0</v>
      </c>
      <c r="I23" s="9">
        <f t="shared" si="0"/>
        <v>41068.360680072859</v>
      </c>
      <c r="J23" s="9">
        <v>1</v>
      </c>
      <c r="K23" s="10">
        <f t="shared" ca="1" si="1"/>
        <v>0</v>
      </c>
    </row>
    <row r="24" spans="2:17" x14ac:dyDescent="0.3">
      <c r="B24" s="8" t="s">
        <v>22</v>
      </c>
      <c r="C24" s="8" t="s">
        <v>33</v>
      </c>
      <c r="D24" s="9">
        <v>26269.424704801291</v>
      </c>
      <c r="E24" s="10">
        <f ca="1">+$E$22*M6</f>
        <v>6.6040000000000001</v>
      </c>
      <c r="F24" s="8">
        <v>50</v>
      </c>
      <c r="G24" s="22">
        <v>1</v>
      </c>
      <c r="H24" s="8">
        <v>0</v>
      </c>
      <c r="I24" s="9">
        <f t="shared" si="0"/>
        <v>26269.424704801291</v>
      </c>
      <c r="J24" s="9">
        <v>1</v>
      </c>
      <c r="K24" s="10">
        <f t="shared" ca="1" si="1"/>
        <v>0</v>
      </c>
    </row>
    <row r="25" spans="2:17" x14ac:dyDescent="0.3">
      <c r="B25" s="8" t="s">
        <v>23</v>
      </c>
      <c r="C25" s="8" t="s">
        <v>33</v>
      </c>
      <c r="D25" s="9">
        <v>30219.16204911462</v>
      </c>
      <c r="E25" s="10">
        <f ca="1">+$E$22*M7</f>
        <v>7.1759999999999993</v>
      </c>
      <c r="F25" s="8">
        <v>50</v>
      </c>
      <c r="G25" s="22">
        <v>1</v>
      </c>
      <c r="H25" s="8">
        <v>0</v>
      </c>
      <c r="I25" s="9">
        <f t="shared" si="0"/>
        <v>30219.16204911462</v>
      </c>
      <c r="J25" s="9">
        <v>1</v>
      </c>
      <c r="K25" s="10">
        <f t="shared" ca="1" si="1"/>
        <v>0</v>
      </c>
    </row>
    <row r="26" spans="2:17" x14ac:dyDescent="0.3">
      <c r="B26" s="8" t="s">
        <v>30</v>
      </c>
      <c r="C26" s="8" t="s">
        <v>33</v>
      </c>
      <c r="D26" s="9">
        <v>21890.592694693321</v>
      </c>
      <c r="E26" s="10">
        <f ca="1">+$E$22*M8</f>
        <v>8.4759999999999991</v>
      </c>
      <c r="F26" s="8">
        <v>50</v>
      </c>
      <c r="G26" s="22">
        <v>1</v>
      </c>
      <c r="H26" s="8">
        <v>0</v>
      </c>
      <c r="I26" s="9">
        <f t="shared" si="0"/>
        <v>21890.592694693321</v>
      </c>
      <c r="J26" s="9">
        <v>1</v>
      </c>
      <c r="K26" s="10">
        <f t="shared" ca="1" si="1"/>
        <v>0</v>
      </c>
      <c r="O26" s="7" t="s">
        <v>4</v>
      </c>
      <c r="P26" s="7" t="s">
        <v>41</v>
      </c>
      <c r="Q26" s="7" t="s">
        <v>10</v>
      </c>
    </row>
    <row r="27" spans="2:17" x14ac:dyDescent="0.3">
      <c r="B27" s="8" t="s">
        <v>19</v>
      </c>
      <c r="C27" s="8" t="s">
        <v>25</v>
      </c>
      <c r="D27" s="9">
        <v>150000</v>
      </c>
      <c r="E27" s="10">
        <v>4</v>
      </c>
      <c r="F27" s="8">
        <v>5</v>
      </c>
      <c r="G27" s="22">
        <v>1</v>
      </c>
      <c r="H27" s="8">
        <v>0</v>
      </c>
      <c r="I27" s="9">
        <f t="shared" si="0"/>
        <v>150000</v>
      </c>
      <c r="J27" s="9">
        <v>1</v>
      </c>
      <c r="K27" s="10">
        <f t="shared" si="1"/>
        <v>0</v>
      </c>
      <c r="O27" s="9" t="s">
        <v>18</v>
      </c>
      <c r="P27" s="9">
        <v>1</v>
      </c>
      <c r="Q27" s="9">
        <f>+P27*7</f>
        <v>7</v>
      </c>
    </row>
    <row r="28" spans="2:17" x14ac:dyDescent="0.3">
      <c r="B28" s="8" t="s">
        <v>21</v>
      </c>
      <c r="C28" s="8" t="s">
        <v>25</v>
      </c>
      <c r="D28" s="9">
        <v>169037.0557251157</v>
      </c>
      <c r="E28" s="10">
        <f>+E27*M4</f>
        <v>4.68</v>
      </c>
      <c r="F28" s="8">
        <v>5</v>
      </c>
      <c r="G28" s="22">
        <v>1</v>
      </c>
      <c r="H28" s="8">
        <v>0</v>
      </c>
      <c r="I28" s="9">
        <f t="shared" si="0"/>
        <v>169037.0557251157</v>
      </c>
      <c r="J28" s="9">
        <v>1</v>
      </c>
      <c r="K28" s="10">
        <f t="shared" si="1"/>
        <v>0</v>
      </c>
      <c r="O28" s="9" t="s">
        <v>27</v>
      </c>
      <c r="P28" s="9">
        <v>1</v>
      </c>
      <c r="Q28" s="9">
        <f>+P28*7</f>
        <v>7</v>
      </c>
    </row>
    <row r="29" spans="2:17" x14ac:dyDescent="0.3">
      <c r="B29" s="8" t="s">
        <v>26</v>
      </c>
      <c r="C29" s="8" t="s">
        <v>25</v>
      </c>
      <c r="D29" s="9">
        <v>145457.1108595058</v>
      </c>
      <c r="E29" s="10">
        <f>+E28*M5</f>
        <v>5.6627999999999998</v>
      </c>
      <c r="F29" s="8">
        <v>5</v>
      </c>
      <c r="G29" s="22">
        <v>1</v>
      </c>
      <c r="H29" s="8">
        <v>0</v>
      </c>
      <c r="I29" s="9">
        <f t="shared" si="0"/>
        <v>145457.1108595058</v>
      </c>
      <c r="J29" s="9">
        <v>1</v>
      </c>
      <c r="K29" s="10">
        <f t="shared" si="1"/>
        <v>0</v>
      </c>
      <c r="O29" s="9" t="s">
        <v>32</v>
      </c>
      <c r="P29" s="9">
        <v>1</v>
      </c>
      <c r="Q29" s="9">
        <f>+P29*7</f>
        <v>7</v>
      </c>
    </row>
    <row r="30" spans="2:17" x14ac:dyDescent="0.3">
      <c r="B30" s="8" t="s">
        <v>22</v>
      </c>
      <c r="C30" s="8" t="s">
        <v>25</v>
      </c>
      <c r="D30" s="9">
        <v>93041.810245807486</v>
      </c>
      <c r="E30" s="10">
        <f>+E29*M6</f>
        <v>7.1917559999999998</v>
      </c>
      <c r="F30" s="8">
        <v>5</v>
      </c>
      <c r="G30" s="22">
        <v>1</v>
      </c>
      <c r="H30" s="8">
        <v>0</v>
      </c>
      <c r="I30" s="9">
        <f t="shared" si="0"/>
        <v>93041.810245807486</v>
      </c>
      <c r="J30" s="9">
        <v>1</v>
      </c>
      <c r="K30" s="10">
        <f t="shared" si="1"/>
        <v>0</v>
      </c>
      <c r="O30" s="9" t="s">
        <v>33</v>
      </c>
      <c r="P30" s="9">
        <v>1</v>
      </c>
      <c r="Q30" s="9">
        <f>+P30*7</f>
        <v>7</v>
      </c>
    </row>
    <row r="31" spans="2:17" x14ac:dyDescent="0.3">
      <c r="B31" s="8" t="s">
        <v>23</v>
      </c>
      <c r="C31" s="8" t="s">
        <v>25</v>
      </c>
      <c r="D31" s="9">
        <v>107031.1045162379</v>
      </c>
      <c r="E31" s="10">
        <f>+E30*M7</f>
        <v>9.9246232799999987</v>
      </c>
      <c r="F31" s="8">
        <v>5</v>
      </c>
      <c r="G31" s="22">
        <v>1</v>
      </c>
      <c r="H31" s="8">
        <v>0</v>
      </c>
      <c r="I31" s="9">
        <f t="shared" si="0"/>
        <v>107031.1045162379</v>
      </c>
      <c r="J31" s="9">
        <v>1</v>
      </c>
      <c r="K31" s="10">
        <f t="shared" si="1"/>
        <v>0</v>
      </c>
      <c r="O31" s="9" t="s">
        <v>25</v>
      </c>
      <c r="P31" s="9">
        <v>1</v>
      </c>
      <c r="Q31" s="9">
        <f>+P31*15</f>
        <v>15</v>
      </c>
    </row>
    <row r="32" spans="2:17" x14ac:dyDescent="0.3">
      <c r="B32" s="8" t="s">
        <v>30</v>
      </c>
      <c r="C32" s="8" t="s">
        <v>25</v>
      </c>
      <c r="D32" s="9">
        <v>77532.736044107514</v>
      </c>
      <c r="E32" s="10">
        <f>+E31*M8</f>
        <v>16.177135946399996</v>
      </c>
      <c r="F32" s="8">
        <v>5</v>
      </c>
      <c r="G32" s="22">
        <v>1</v>
      </c>
      <c r="H32" s="8">
        <v>0</v>
      </c>
      <c r="I32" s="9">
        <f t="shared" si="0"/>
        <v>77532.736044107514</v>
      </c>
      <c r="J32" s="9">
        <v>1</v>
      </c>
      <c r="K32" s="10">
        <f t="shared" si="1"/>
        <v>0</v>
      </c>
      <c r="O32" s="9" t="s">
        <v>24</v>
      </c>
      <c r="P32" s="9">
        <v>1</v>
      </c>
      <c r="Q32" s="9">
        <f>+P32*10</f>
        <v>10</v>
      </c>
    </row>
    <row r="33" spans="2:17" x14ac:dyDescent="0.3">
      <c r="B33" s="8" t="s">
        <v>19</v>
      </c>
      <c r="C33" s="8" t="s">
        <v>24</v>
      </c>
      <c r="D33" s="9">
        <v>100000</v>
      </c>
      <c r="E33" s="10">
        <v>3.4</v>
      </c>
      <c r="F33" s="8">
        <v>10</v>
      </c>
      <c r="G33" s="22">
        <v>1</v>
      </c>
      <c r="H33" s="8">
        <v>0</v>
      </c>
      <c r="I33" s="9">
        <f t="shared" si="0"/>
        <v>100000</v>
      </c>
      <c r="J33" s="9">
        <v>1</v>
      </c>
      <c r="K33" s="10">
        <f t="shared" si="1"/>
        <v>0</v>
      </c>
      <c r="O33" s="9" t="s">
        <v>34</v>
      </c>
      <c r="P33" s="9">
        <v>1</v>
      </c>
      <c r="Q33" s="9">
        <f>+P33*14</f>
        <v>14</v>
      </c>
    </row>
    <row r="34" spans="2:17" x14ac:dyDescent="0.3">
      <c r="B34" s="8" t="s">
        <v>21</v>
      </c>
      <c r="C34" s="8" t="s">
        <v>24</v>
      </c>
      <c r="D34" s="9">
        <v>112691.3704834104</v>
      </c>
      <c r="E34" s="10">
        <f>+E33*M4</f>
        <v>3.9779999999999998</v>
      </c>
      <c r="F34" s="8">
        <v>10</v>
      </c>
      <c r="G34" s="22">
        <v>1</v>
      </c>
      <c r="H34" s="8">
        <v>0</v>
      </c>
      <c r="I34" s="9">
        <f t="shared" si="0"/>
        <v>112691.3704834104</v>
      </c>
      <c r="J34" s="9">
        <v>1</v>
      </c>
      <c r="K34" s="10">
        <f t="shared" si="1"/>
        <v>0</v>
      </c>
      <c r="O34" s="9" t="s">
        <v>42</v>
      </c>
      <c r="P34" s="9">
        <v>1</v>
      </c>
      <c r="Q34" s="9">
        <f t="shared" ref="Q34:Q39" si="2">+P34*7</f>
        <v>7</v>
      </c>
    </row>
    <row r="35" spans="2:17" x14ac:dyDescent="0.3">
      <c r="B35" s="8" t="s">
        <v>26</v>
      </c>
      <c r="C35" s="8" t="s">
        <v>24</v>
      </c>
      <c r="D35" s="9">
        <v>96971.407239670501</v>
      </c>
      <c r="E35" s="10">
        <f>+$E$34*M5</f>
        <v>4.8133799999999995</v>
      </c>
      <c r="F35" s="8">
        <v>10</v>
      </c>
      <c r="G35" s="22">
        <v>1</v>
      </c>
      <c r="H35" s="8">
        <v>0</v>
      </c>
      <c r="I35" s="9">
        <f t="shared" si="0"/>
        <v>96971.407239670501</v>
      </c>
      <c r="J35" s="9">
        <v>1</v>
      </c>
      <c r="K35" s="10">
        <f t="shared" si="1"/>
        <v>0</v>
      </c>
      <c r="O35" s="9" t="s">
        <v>35</v>
      </c>
      <c r="P35" s="9">
        <v>1</v>
      </c>
      <c r="Q35" s="9">
        <f t="shared" si="2"/>
        <v>7</v>
      </c>
    </row>
    <row r="36" spans="2:17" x14ac:dyDescent="0.3">
      <c r="B36" s="8" t="s">
        <v>22</v>
      </c>
      <c r="C36" s="8" t="s">
        <v>24</v>
      </c>
      <c r="D36" s="9">
        <v>62027.873497204993</v>
      </c>
      <c r="E36" s="10">
        <f>+$E$34*M6</f>
        <v>5.05206</v>
      </c>
      <c r="F36" s="8">
        <v>10</v>
      </c>
      <c r="G36" s="22">
        <v>1</v>
      </c>
      <c r="H36" s="8">
        <v>0</v>
      </c>
      <c r="I36" s="9">
        <f t="shared" si="0"/>
        <v>62027.873497204993</v>
      </c>
      <c r="J36" s="9">
        <v>1</v>
      </c>
      <c r="K36" s="10">
        <f t="shared" si="1"/>
        <v>0</v>
      </c>
      <c r="O36" s="9" t="s">
        <v>36</v>
      </c>
      <c r="P36" s="9">
        <v>1</v>
      </c>
      <c r="Q36" s="9">
        <f t="shared" si="2"/>
        <v>7</v>
      </c>
    </row>
    <row r="37" spans="2:17" x14ac:dyDescent="0.3">
      <c r="B37" s="8" t="s">
        <v>23</v>
      </c>
      <c r="C37" s="8" t="s">
        <v>24</v>
      </c>
      <c r="D37" s="9">
        <v>71354.069677491949</v>
      </c>
      <c r="E37" s="10">
        <f>+$E$34*M7</f>
        <v>5.4896399999999996</v>
      </c>
      <c r="F37" s="8">
        <v>10</v>
      </c>
      <c r="G37" s="22">
        <v>1</v>
      </c>
      <c r="H37" s="8">
        <v>0</v>
      </c>
      <c r="I37" s="9">
        <f t="shared" si="0"/>
        <v>71354.069677491949</v>
      </c>
      <c r="J37" s="9">
        <v>1</v>
      </c>
      <c r="K37" s="10">
        <f t="shared" si="1"/>
        <v>0</v>
      </c>
      <c r="O37" s="9" t="s">
        <v>37</v>
      </c>
      <c r="P37" s="9">
        <v>1</v>
      </c>
      <c r="Q37" s="9">
        <f t="shared" si="2"/>
        <v>7</v>
      </c>
    </row>
    <row r="38" spans="2:17" x14ac:dyDescent="0.3">
      <c r="B38" s="8" t="s">
        <v>30</v>
      </c>
      <c r="C38" s="8" t="s">
        <v>24</v>
      </c>
      <c r="D38" s="9">
        <v>51688.490696071683</v>
      </c>
      <c r="E38" s="10">
        <f>+$E$34*M8</f>
        <v>6.4841399999999991</v>
      </c>
      <c r="F38" s="8">
        <v>10</v>
      </c>
      <c r="G38" s="22">
        <v>1</v>
      </c>
      <c r="H38" s="8">
        <v>0</v>
      </c>
      <c r="I38" s="9">
        <f t="shared" si="0"/>
        <v>51688.490696071683</v>
      </c>
      <c r="J38" s="9">
        <v>1</v>
      </c>
      <c r="K38" s="10">
        <f t="shared" si="1"/>
        <v>0</v>
      </c>
      <c r="O38" s="9" t="s">
        <v>43</v>
      </c>
      <c r="P38" s="9">
        <v>1</v>
      </c>
      <c r="Q38" s="9">
        <f t="shared" si="2"/>
        <v>7</v>
      </c>
    </row>
    <row r="39" spans="2:17" x14ac:dyDescent="0.3">
      <c r="B39" s="8" t="s">
        <v>19</v>
      </c>
      <c r="C39" s="8" t="s">
        <v>34</v>
      </c>
      <c r="D39" s="9">
        <v>13200</v>
      </c>
      <c r="E39" s="10">
        <v>21</v>
      </c>
      <c r="F39" s="8">
        <v>500</v>
      </c>
      <c r="G39" s="22">
        <v>1</v>
      </c>
      <c r="H39" s="8">
        <v>0</v>
      </c>
      <c r="I39" s="9">
        <f t="shared" si="0"/>
        <v>13200</v>
      </c>
      <c r="J39" s="9">
        <v>1</v>
      </c>
      <c r="K39" s="10">
        <f t="shared" si="1"/>
        <v>0</v>
      </c>
      <c r="O39" s="9" t="s">
        <v>44</v>
      </c>
      <c r="P39" s="9">
        <v>1</v>
      </c>
      <c r="Q39" s="9">
        <f t="shared" si="2"/>
        <v>7</v>
      </c>
    </row>
    <row r="40" spans="2:17" x14ac:dyDescent="0.3">
      <c r="B40" s="8" t="s">
        <v>21</v>
      </c>
      <c r="C40" s="8" t="s">
        <v>34</v>
      </c>
      <c r="D40" s="9">
        <v>14875.26090381018</v>
      </c>
      <c r="E40" s="10">
        <f>+E39*M4</f>
        <v>24.57</v>
      </c>
      <c r="F40" s="8">
        <v>500</v>
      </c>
      <c r="G40" s="22">
        <v>1</v>
      </c>
      <c r="H40" s="8">
        <v>0</v>
      </c>
      <c r="I40" s="9">
        <f t="shared" si="0"/>
        <v>14875.26090381018</v>
      </c>
      <c r="J40" s="9">
        <v>1</v>
      </c>
      <c r="K40" s="10">
        <f t="shared" si="1"/>
        <v>0</v>
      </c>
    </row>
    <row r="41" spans="2:17" x14ac:dyDescent="0.3">
      <c r="B41" s="8" t="s">
        <v>26</v>
      </c>
      <c r="C41" s="8" t="s">
        <v>34</v>
      </c>
      <c r="D41" s="9">
        <v>12800.225755636509</v>
      </c>
      <c r="E41" s="10">
        <f>+$E$40*M5</f>
        <v>29.729700000000001</v>
      </c>
      <c r="F41" s="8">
        <v>500</v>
      </c>
      <c r="G41" s="22">
        <v>1</v>
      </c>
      <c r="H41" s="8">
        <v>0</v>
      </c>
      <c r="I41" s="9">
        <f t="shared" si="0"/>
        <v>12800.225755636509</v>
      </c>
      <c r="J41" s="9">
        <v>1</v>
      </c>
      <c r="K41" s="10">
        <f t="shared" si="1"/>
        <v>0</v>
      </c>
    </row>
    <row r="42" spans="2:17" x14ac:dyDescent="0.3">
      <c r="B42" s="8" t="s">
        <v>22</v>
      </c>
      <c r="C42" s="8" t="s">
        <v>34</v>
      </c>
      <c r="D42" s="9">
        <v>8187.6793016310576</v>
      </c>
      <c r="E42" s="10">
        <f>+$E$40*M6</f>
        <v>31.203900000000001</v>
      </c>
      <c r="F42" s="8">
        <v>500</v>
      </c>
      <c r="G42" s="22">
        <v>1</v>
      </c>
      <c r="H42" s="8">
        <v>0</v>
      </c>
      <c r="I42" s="9">
        <f t="shared" si="0"/>
        <v>8187.6793016310576</v>
      </c>
      <c r="J42" s="9">
        <v>1</v>
      </c>
      <c r="K42" s="10">
        <f t="shared" si="1"/>
        <v>0</v>
      </c>
    </row>
    <row r="43" spans="2:17" x14ac:dyDescent="0.3">
      <c r="B43" s="8" t="s">
        <v>23</v>
      </c>
      <c r="C43" s="8" t="s">
        <v>34</v>
      </c>
      <c r="D43" s="9">
        <v>9418.7371974289381</v>
      </c>
      <c r="E43" s="10">
        <f>+$E$40*M7</f>
        <v>33.906599999999997</v>
      </c>
      <c r="F43" s="8">
        <v>500</v>
      </c>
      <c r="G43" s="22">
        <v>1</v>
      </c>
      <c r="H43" s="8">
        <v>0</v>
      </c>
      <c r="I43" s="9">
        <f t="shared" si="0"/>
        <v>9418.7371974289381</v>
      </c>
      <c r="J43" s="9">
        <v>1</v>
      </c>
      <c r="K43" s="10">
        <f t="shared" si="1"/>
        <v>0</v>
      </c>
    </row>
    <row r="44" spans="2:17" x14ac:dyDescent="0.3">
      <c r="B44" s="8" t="s">
        <v>30</v>
      </c>
      <c r="C44" s="8" t="s">
        <v>34</v>
      </c>
      <c r="D44" s="9">
        <v>6822.8807718814614</v>
      </c>
      <c r="E44" s="10">
        <f>+$E$40*M8</f>
        <v>40.049099999999996</v>
      </c>
      <c r="F44" s="8">
        <v>500</v>
      </c>
      <c r="G44" s="22">
        <v>1</v>
      </c>
      <c r="H44" s="8">
        <v>0</v>
      </c>
      <c r="I44" s="9">
        <f t="shared" si="0"/>
        <v>6822.8807718814614</v>
      </c>
      <c r="J44" s="9">
        <v>1</v>
      </c>
      <c r="K44" s="10">
        <f t="shared" si="1"/>
        <v>0</v>
      </c>
    </row>
    <row r="45" spans="2:17" x14ac:dyDescent="0.3">
      <c r="B45" s="8" t="s">
        <v>19</v>
      </c>
      <c r="C45" s="8" t="s">
        <v>37</v>
      </c>
      <c r="D45" s="9">
        <v>300</v>
      </c>
      <c r="E45" s="10">
        <v>9.3000000000000007</v>
      </c>
      <c r="F45" s="9">
        <v>300</v>
      </c>
      <c r="G45" s="22">
        <v>1</v>
      </c>
      <c r="H45" s="8">
        <v>0</v>
      </c>
      <c r="I45" s="9">
        <f t="shared" si="0"/>
        <v>300</v>
      </c>
      <c r="J45" s="9">
        <v>1</v>
      </c>
      <c r="K45" s="10">
        <f t="shared" si="1"/>
        <v>0</v>
      </c>
    </row>
    <row r="46" spans="2:17" x14ac:dyDescent="0.3">
      <c r="B46" s="8" t="s">
        <v>21</v>
      </c>
      <c r="C46" s="8" t="s">
        <v>37</v>
      </c>
      <c r="D46" s="9">
        <v>250</v>
      </c>
      <c r="E46" s="10">
        <v>8</v>
      </c>
      <c r="F46" s="9">
        <v>250</v>
      </c>
      <c r="G46" s="22">
        <v>1</v>
      </c>
      <c r="H46" s="8">
        <v>0</v>
      </c>
      <c r="I46" s="9">
        <f t="shared" si="0"/>
        <v>250</v>
      </c>
      <c r="J46" s="9">
        <v>1</v>
      </c>
      <c r="K46" s="10">
        <f t="shared" si="1"/>
        <v>0</v>
      </c>
    </row>
    <row r="47" spans="2:17" x14ac:dyDescent="0.3">
      <c r="B47" s="8" t="s">
        <v>26</v>
      </c>
      <c r="C47" s="8" t="s">
        <v>37</v>
      </c>
      <c r="D47" s="9">
        <v>230</v>
      </c>
      <c r="E47" s="10">
        <v>7.8</v>
      </c>
      <c r="F47" s="9">
        <v>230</v>
      </c>
      <c r="G47" s="22">
        <v>1</v>
      </c>
      <c r="H47" s="8">
        <v>0</v>
      </c>
      <c r="I47" s="9">
        <f t="shared" si="0"/>
        <v>230</v>
      </c>
      <c r="J47" s="9">
        <v>1</v>
      </c>
      <c r="K47" s="10">
        <f t="shared" si="1"/>
        <v>0</v>
      </c>
    </row>
    <row r="48" spans="2:17" x14ac:dyDescent="0.3">
      <c r="B48" s="8" t="s">
        <v>22</v>
      </c>
      <c r="C48" s="8" t="s">
        <v>37</v>
      </c>
      <c r="D48" s="9">
        <v>220</v>
      </c>
      <c r="E48" s="10">
        <v>7.5</v>
      </c>
      <c r="F48" s="9">
        <v>220</v>
      </c>
      <c r="G48" s="22">
        <v>1</v>
      </c>
      <c r="H48" s="8">
        <v>0</v>
      </c>
      <c r="I48" s="9">
        <f t="shared" si="0"/>
        <v>220</v>
      </c>
      <c r="J48" s="9">
        <v>1</v>
      </c>
      <c r="K48" s="10">
        <f t="shared" si="1"/>
        <v>0</v>
      </c>
    </row>
    <row r="49" spans="2:11" x14ac:dyDescent="0.3">
      <c r="B49" s="8" t="s">
        <v>19</v>
      </c>
      <c r="C49" s="8" t="s">
        <v>35</v>
      </c>
      <c r="D49" s="9">
        <f t="shared" ref="D49:D54" si="3">+D3/5</f>
        <v>3482.4</v>
      </c>
      <c r="E49" s="10">
        <v>5.25</v>
      </c>
      <c r="F49" s="8">
        <v>50</v>
      </c>
      <c r="G49" s="22">
        <v>1</v>
      </c>
      <c r="H49" s="8">
        <v>0</v>
      </c>
      <c r="I49" s="9">
        <f t="shared" si="0"/>
        <v>3482.4</v>
      </c>
      <c r="J49" s="9">
        <v>1</v>
      </c>
      <c r="K49" s="10">
        <f t="shared" si="1"/>
        <v>0</v>
      </c>
    </row>
    <row r="50" spans="2:11" x14ac:dyDescent="0.3">
      <c r="B50" s="8" t="s">
        <v>21</v>
      </c>
      <c r="C50" s="8" t="s">
        <v>35</v>
      </c>
      <c r="D50" s="9">
        <f t="shared" si="3"/>
        <v>3924.3642857142863</v>
      </c>
      <c r="E50" s="10">
        <v>6.1425000000000001</v>
      </c>
      <c r="F50" s="8">
        <v>50</v>
      </c>
      <c r="G50" s="22">
        <v>1</v>
      </c>
      <c r="H50" s="8">
        <v>0</v>
      </c>
      <c r="I50" s="9">
        <f t="shared" si="0"/>
        <v>3924.3642857142863</v>
      </c>
      <c r="J50" s="9">
        <v>1</v>
      </c>
      <c r="K50" s="10">
        <f t="shared" si="1"/>
        <v>0</v>
      </c>
    </row>
    <row r="51" spans="2:11" x14ac:dyDescent="0.3">
      <c r="B51" s="8" t="s">
        <v>26</v>
      </c>
      <c r="C51" s="8" t="s">
        <v>35</v>
      </c>
      <c r="D51" s="9">
        <f t="shared" si="3"/>
        <v>3376.9322857142861</v>
      </c>
      <c r="E51" s="10">
        <v>6.3525</v>
      </c>
      <c r="F51" s="8">
        <v>50</v>
      </c>
      <c r="G51" s="22">
        <v>1</v>
      </c>
      <c r="H51" s="8">
        <v>0</v>
      </c>
      <c r="I51" s="9">
        <f t="shared" si="0"/>
        <v>3376.9322857142861</v>
      </c>
      <c r="J51" s="9">
        <v>1</v>
      </c>
      <c r="K51" s="10">
        <f t="shared" si="1"/>
        <v>0</v>
      </c>
    </row>
    <row r="52" spans="2:11" x14ac:dyDescent="0.3">
      <c r="B52" s="8" t="s">
        <v>22</v>
      </c>
      <c r="C52" s="8" t="s">
        <v>35</v>
      </c>
      <c r="D52" s="9">
        <f t="shared" si="3"/>
        <v>2160.0586666666659</v>
      </c>
      <c r="E52" s="10">
        <v>6.6675000000000004</v>
      </c>
      <c r="F52" s="8">
        <v>50</v>
      </c>
      <c r="G52" s="22">
        <v>1</v>
      </c>
      <c r="H52" s="8">
        <v>0</v>
      </c>
      <c r="I52" s="9">
        <f t="shared" si="0"/>
        <v>2160.0586666666659</v>
      </c>
      <c r="J52" s="9">
        <v>1</v>
      </c>
      <c r="K52" s="10">
        <f t="shared" si="1"/>
        <v>0</v>
      </c>
    </row>
    <row r="53" spans="2:11" x14ac:dyDescent="0.3">
      <c r="B53" s="8" t="s">
        <v>23</v>
      </c>
      <c r="C53" s="8" t="s">
        <v>35</v>
      </c>
      <c r="D53" s="9">
        <f t="shared" si="3"/>
        <v>2484.83412244898</v>
      </c>
      <c r="E53" s="10">
        <v>7.2449999999999992</v>
      </c>
      <c r="F53" s="8">
        <v>50</v>
      </c>
      <c r="G53" s="22">
        <v>1</v>
      </c>
      <c r="H53" s="8">
        <v>0</v>
      </c>
      <c r="I53" s="9">
        <f t="shared" si="0"/>
        <v>2484.83412244898</v>
      </c>
      <c r="J53" s="9">
        <v>1</v>
      </c>
      <c r="K53" s="10">
        <f t="shared" si="1"/>
        <v>0</v>
      </c>
    </row>
    <row r="54" spans="2:11" x14ac:dyDescent="0.3">
      <c r="B54" s="8" t="s">
        <v>30</v>
      </c>
      <c r="C54" s="8" t="s">
        <v>35</v>
      </c>
      <c r="D54" s="9">
        <f t="shared" si="3"/>
        <v>1800</v>
      </c>
      <c r="E54" s="10">
        <v>8.5574999999999992</v>
      </c>
      <c r="F54" s="8">
        <v>50</v>
      </c>
      <c r="G54" s="22">
        <v>1</v>
      </c>
      <c r="H54" s="8">
        <v>0</v>
      </c>
      <c r="I54" s="9">
        <f t="shared" si="0"/>
        <v>1800</v>
      </c>
      <c r="J54" s="9">
        <v>1</v>
      </c>
      <c r="K54" s="10">
        <f t="shared" si="1"/>
        <v>0</v>
      </c>
    </row>
    <row r="55" spans="2:11" x14ac:dyDescent="0.3">
      <c r="B55" s="8" t="s">
        <v>19</v>
      </c>
      <c r="C55" s="8" t="s">
        <v>36</v>
      </c>
      <c r="D55" s="9">
        <f t="shared" ref="D55:D60" si="4">+D9/10</f>
        <v>5016.3</v>
      </c>
      <c r="E55" s="10">
        <v>4.5</v>
      </c>
      <c r="F55" s="8">
        <v>10</v>
      </c>
      <c r="G55" s="22">
        <v>1</v>
      </c>
      <c r="H55" s="8">
        <v>0</v>
      </c>
      <c r="I55" s="9">
        <f t="shared" si="0"/>
        <v>5016.3</v>
      </c>
      <c r="J55" s="9">
        <v>1</v>
      </c>
      <c r="K55" s="10">
        <f t="shared" si="1"/>
        <v>0</v>
      </c>
    </row>
    <row r="56" spans="2:11" x14ac:dyDescent="0.3">
      <c r="B56" s="8" t="s">
        <v>21</v>
      </c>
      <c r="C56" s="8" t="s">
        <v>36</v>
      </c>
      <c r="D56" s="9">
        <f t="shared" si="4"/>
        <v>5652.937217559318</v>
      </c>
      <c r="E56" s="10">
        <v>5.2649999999999997</v>
      </c>
      <c r="F56" s="8">
        <v>10</v>
      </c>
      <c r="G56" s="22">
        <v>1</v>
      </c>
      <c r="H56" s="8">
        <v>0</v>
      </c>
      <c r="I56" s="9">
        <f t="shared" si="0"/>
        <v>5652.937217559318</v>
      </c>
      <c r="J56" s="9">
        <v>1</v>
      </c>
      <c r="K56" s="10">
        <f t="shared" si="1"/>
        <v>0</v>
      </c>
    </row>
    <row r="57" spans="2:11" x14ac:dyDescent="0.3">
      <c r="B57" s="8" t="s">
        <v>26</v>
      </c>
      <c r="C57" s="8" t="s">
        <v>36</v>
      </c>
      <c r="D57" s="9">
        <f t="shared" si="4"/>
        <v>4864.3767013635925</v>
      </c>
      <c r="E57" s="10">
        <v>5.4450000000000003</v>
      </c>
      <c r="F57" s="8">
        <v>10</v>
      </c>
      <c r="G57" s="22">
        <v>1</v>
      </c>
      <c r="H57" s="8">
        <v>0</v>
      </c>
      <c r="I57" s="9">
        <f t="shared" si="0"/>
        <v>4864.3767013635925</v>
      </c>
      <c r="J57" s="9">
        <v>1</v>
      </c>
      <c r="K57" s="10">
        <f t="shared" si="1"/>
        <v>0</v>
      </c>
    </row>
    <row r="58" spans="2:11" x14ac:dyDescent="0.3">
      <c r="B58" s="8" t="s">
        <v>22</v>
      </c>
      <c r="C58" s="8" t="s">
        <v>36</v>
      </c>
      <c r="D58" s="9">
        <f t="shared" si="4"/>
        <v>3111.504218240294</v>
      </c>
      <c r="E58" s="10">
        <v>5.7149999999999999</v>
      </c>
      <c r="F58" s="8">
        <v>10</v>
      </c>
      <c r="G58" s="22">
        <v>1</v>
      </c>
      <c r="H58" s="8">
        <v>0</v>
      </c>
      <c r="I58" s="9">
        <f t="shared" si="0"/>
        <v>3111.504218240294</v>
      </c>
      <c r="J58" s="9">
        <v>1</v>
      </c>
      <c r="K58" s="10">
        <f t="shared" si="1"/>
        <v>0</v>
      </c>
    </row>
    <row r="59" spans="2:11" x14ac:dyDescent="0.3">
      <c r="B59" s="8" t="s">
        <v>23</v>
      </c>
      <c r="C59" s="8" t="s">
        <v>36</v>
      </c>
      <c r="D59" s="9">
        <f t="shared" si="4"/>
        <v>3579.3341972320291</v>
      </c>
      <c r="E59" s="10">
        <v>6.2099999999999991</v>
      </c>
      <c r="F59" s="8">
        <v>10</v>
      </c>
      <c r="G59" s="22">
        <v>1</v>
      </c>
      <c r="H59" s="8">
        <v>0</v>
      </c>
      <c r="I59" s="9">
        <f t="shared" si="0"/>
        <v>3579.3341972320291</v>
      </c>
      <c r="J59" s="9">
        <v>1</v>
      </c>
      <c r="K59" s="10">
        <f t="shared" si="1"/>
        <v>0</v>
      </c>
    </row>
    <row r="60" spans="2:11" x14ac:dyDescent="0.3">
      <c r="B60" s="8" t="s">
        <v>30</v>
      </c>
      <c r="C60" s="8" t="s">
        <v>36</v>
      </c>
      <c r="D60" s="9">
        <f t="shared" si="4"/>
        <v>2592.8497587870438</v>
      </c>
      <c r="E60" s="10">
        <v>7.3349999999999991</v>
      </c>
      <c r="F60" s="8">
        <v>10</v>
      </c>
      <c r="G60" s="22">
        <v>1</v>
      </c>
      <c r="H60" s="8">
        <v>0</v>
      </c>
      <c r="I60" s="9">
        <f t="shared" si="0"/>
        <v>2592.8497587870438</v>
      </c>
      <c r="J60" s="9">
        <v>1</v>
      </c>
      <c r="K60" s="10">
        <f t="shared" si="1"/>
        <v>0</v>
      </c>
    </row>
    <row r="61" spans="2:11" x14ac:dyDescent="0.3">
      <c r="B61" s="8" t="s">
        <v>19</v>
      </c>
      <c r="C61" s="8" t="s">
        <v>42</v>
      </c>
      <c r="D61" s="9">
        <v>50000</v>
      </c>
      <c r="E61" s="10">
        <v>1.8</v>
      </c>
      <c r="F61" s="8">
        <v>1</v>
      </c>
      <c r="G61" s="22">
        <v>1</v>
      </c>
      <c r="H61" s="8">
        <v>0</v>
      </c>
      <c r="I61" s="9">
        <f t="shared" si="0"/>
        <v>50000</v>
      </c>
      <c r="J61" s="9">
        <v>1</v>
      </c>
      <c r="K61" s="10">
        <f t="shared" si="1"/>
        <v>0</v>
      </c>
    </row>
    <row r="62" spans="2:11" x14ac:dyDescent="0.3">
      <c r="B62" s="8" t="s">
        <v>21</v>
      </c>
      <c r="C62" s="8" t="s">
        <v>42</v>
      </c>
      <c r="D62" s="9">
        <v>56529.372175593198</v>
      </c>
      <c r="E62" s="10">
        <v>2.1059999999999999</v>
      </c>
      <c r="F62" s="8">
        <v>1</v>
      </c>
      <c r="G62" s="22">
        <v>1</v>
      </c>
      <c r="H62" s="8">
        <v>0</v>
      </c>
      <c r="I62" s="9">
        <f t="shared" si="0"/>
        <v>56529.372175593198</v>
      </c>
      <c r="J62" s="9">
        <v>1</v>
      </c>
      <c r="K62" s="10">
        <f t="shared" si="1"/>
        <v>0</v>
      </c>
    </row>
    <row r="63" spans="2:11" x14ac:dyDescent="0.3">
      <c r="B63" s="8" t="s">
        <v>26</v>
      </c>
      <c r="C63" s="8" t="s">
        <v>42</v>
      </c>
      <c r="D63" s="9">
        <v>48643.767013635923</v>
      </c>
      <c r="E63" s="10">
        <v>2.1779999999999999</v>
      </c>
      <c r="F63" s="8">
        <v>1</v>
      </c>
      <c r="G63" s="22">
        <v>1</v>
      </c>
      <c r="H63" s="8">
        <v>0</v>
      </c>
      <c r="I63" s="9">
        <f t="shared" si="0"/>
        <v>48643.767013635923</v>
      </c>
      <c r="J63" s="9">
        <v>1</v>
      </c>
      <c r="K63" s="10">
        <f t="shared" si="1"/>
        <v>0</v>
      </c>
    </row>
    <row r="64" spans="2:11" x14ac:dyDescent="0.3">
      <c r="B64" s="8" t="s">
        <v>22</v>
      </c>
      <c r="C64" s="8" t="s">
        <v>42</v>
      </c>
      <c r="D64" s="9">
        <v>31115.042182402929</v>
      </c>
      <c r="E64" s="10">
        <v>2.286</v>
      </c>
      <c r="F64" s="8">
        <v>1</v>
      </c>
      <c r="G64" s="22">
        <v>1</v>
      </c>
      <c r="H64" s="8">
        <v>0</v>
      </c>
      <c r="I64" s="9">
        <f t="shared" si="0"/>
        <v>31115.042182402929</v>
      </c>
      <c r="J64" s="9">
        <v>1</v>
      </c>
      <c r="K64" s="10">
        <f t="shared" si="1"/>
        <v>0</v>
      </c>
    </row>
    <row r="65" spans="2:11" x14ac:dyDescent="0.3">
      <c r="B65" s="8" t="s">
        <v>23</v>
      </c>
      <c r="C65" s="8" t="s">
        <v>42</v>
      </c>
      <c r="D65" s="9">
        <v>35793.34197232029</v>
      </c>
      <c r="E65" s="10">
        <v>2.484</v>
      </c>
      <c r="F65" s="8">
        <v>1</v>
      </c>
      <c r="G65" s="22">
        <v>1</v>
      </c>
      <c r="H65" s="8">
        <v>0</v>
      </c>
      <c r="I65" s="9">
        <f t="shared" si="0"/>
        <v>35793.34197232029</v>
      </c>
      <c r="J65" s="9">
        <v>1</v>
      </c>
      <c r="K65" s="10">
        <f t="shared" si="1"/>
        <v>0</v>
      </c>
    </row>
    <row r="66" spans="2:11" x14ac:dyDescent="0.3">
      <c r="B66" s="8" t="s">
        <v>30</v>
      </c>
      <c r="C66" s="8" t="s">
        <v>42</v>
      </c>
      <c r="D66" s="9">
        <v>25928.497587870435</v>
      </c>
      <c r="E66" s="10">
        <v>2.9339999999999997</v>
      </c>
      <c r="F66" s="8">
        <v>1</v>
      </c>
      <c r="G66" s="22">
        <v>1</v>
      </c>
      <c r="H66" s="8">
        <v>0</v>
      </c>
      <c r="I66" s="9">
        <f t="shared" si="0"/>
        <v>25928.497587870435</v>
      </c>
      <c r="J66" s="9">
        <v>1</v>
      </c>
      <c r="K66" s="10">
        <f t="shared" si="1"/>
        <v>0</v>
      </c>
    </row>
    <row r="67" spans="2:11" x14ac:dyDescent="0.3">
      <c r="B67" s="8" t="s">
        <v>19</v>
      </c>
      <c r="C67" s="8" t="s">
        <v>43</v>
      </c>
      <c r="D67" s="9">
        <v>23500</v>
      </c>
      <c r="E67" s="10">
        <v>12</v>
      </c>
      <c r="F67" s="8">
        <v>200</v>
      </c>
      <c r="G67" s="22">
        <v>1</v>
      </c>
      <c r="H67" s="8">
        <v>0</v>
      </c>
      <c r="I67" s="9">
        <f t="shared" si="0"/>
        <v>23500</v>
      </c>
      <c r="J67" s="9">
        <v>1</v>
      </c>
      <c r="K67" s="10">
        <f t="shared" si="1"/>
        <v>0</v>
      </c>
    </row>
    <row r="68" spans="2:11" x14ac:dyDescent="0.3">
      <c r="B68" s="8" t="s">
        <v>21</v>
      </c>
      <c r="C68" s="8" t="s">
        <v>43</v>
      </c>
      <c r="D68" s="9">
        <v>26482.472063601461</v>
      </c>
      <c r="E68" s="10">
        <v>14.04</v>
      </c>
      <c r="F68" s="8">
        <v>200</v>
      </c>
      <c r="G68" s="22">
        <v>1</v>
      </c>
      <c r="H68" s="8">
        <v>0</v>
      </c>
      <c r="I68" s="9">
        <f t="shared" ref="I68:I78" si="5">+D68</f>
        <v>26482.472063601461</v>
      </c>
      <c r="J68" s="9">
        <v>1</v>
      </c>
      <c r="K68" s="10">
        <f t="shared" ref="K68:K78" si="6">E68 * (H68 / F68)^0.55 * G68 * (J68^0.8)</f>
        <v>0</v>
      </c>
    </row>
    <row r="69" spans="2:11" x14ac:dyDescent="0.3">
      <c r="B69" s="8" t="s">
        <v>26</v>
      </c>
      <c r="C69" s="8" t="s">
        <v>43</v>
      </c>
      <c r="D69" s="9">
        <v>22788.280701322576</v>
      </c>
      <c r="E69" s="10">
        <v>14.52</v>
      </c>
      <c r="F69" s="8">
        <v>200</v>
      </c>
      <c r="G69" s="22">
        <v>1</v>
      </c>
      <c r="H69" s="8">
        <v>0</v>
      </c>
      <c r="I69" s="9">
        <f t="shared" si="5"/>
        <v>22788.280701322576</v>
      </c>
      <c r="J69" s="9">
        <v>1</v>
      </c>
      <c r="K69" s="10">
        <f t="shared" si="6"/>
        <v>0</v>
      </c>
    </row>
    <row r="70" spans="2:11" x14ac:dyDescent="0.3">
      <c r="B70" s="8" t="s">
        <v>22</v>
      </c>
      <c r="C70" s="8" t="s">
        <v>43</v>
      </c>
      <c r="D70" s="9">
        <v>14576.550271843169</v>
      </c>
      <c r="E70" s="10">
        <v>15.24</v>
      </c>
      <c r="F70" s="8">
        <v>200</v>
      </c>
      <c r="G70" s="22">
        <v>1</v>
      </c>
      <c r="H70" s="8">
        <v>0</v>
      </c>
      <c r="I70" s="9">
        <f t="shared" si="5"/>
        <v>14576.550271843169</v>
      </c>
      <c r="J70" s="9">
        <v>1</v>
      </c>
      <c r="K70" s="10">
        <f t="shared" si="6"/>
        <v>0</v>
      </c>
    </row>
    <row r="71" spans="2:11" x14ac:dyDescent="0.3">
      <c r="B71" s="8" t="s">
        <v>23</v>
      </c>
      <c r="C71" s="8" t="s">
        <v>43</v>
      </c>
      <c r="D71" s="9">
        <v>16768.206374210611</v>
      </c>
      <c r="E71" s="10">
        <v>16.559999999999999</v>
      </c>
      <c r="F71" s="8">
        <v>200</v>
      </c>
      <c r="G71" s="22">
        <v>1</v>
      </c>
      <c r="H71" s="8">
        <v>0</v>
      </c>
      <c r="I71" s="9">
        <f t="shared" si="5"/>
        <v>16768.206374210611</v>
      </c>
      <c r="J71" s="9">
        <v>1</v>
      </c>
      <c r="K71" s="10">
        <f t="shared" si="6"/>
        <v>0</v>
      </c>
    </row>
    <row r="72" spans="2:11" x14ac:dyDescent="0.3">
      <c r="B72" s="8" t="s">
        <v>30</v>
      </c>
      <c r="C72" s="8" t="s">
        <v>43</v>
      </c>
      <c r="D72" s="9">
        <v>12146.795313576844</v>
      </c>
      <c r="E72" s="10">
        <v>19.559999999999999</v>
      </c>
      <c r="F72" s="8">
        <v>200</v>
      </c>
      <c r="G72" s="22">
        <v>1</v>
      </c>
      <c r="H72" s="8">
        <v>0</v>
      </c>
      <c r="I72" s="9">
        <f t="shared" si="5"/>
        <v>12146.795313576844</v>
      </c>
      <c r="J72" s="9">
        <v>1</v>
      </c>
      <c r="K72" s="10">
        <f t="shared" si="6"/>
        <v>0</v>
      </c>
    </row>
    <row r="73" spans="2:11" x14ac:dyDescent="0.3">
      <c r="B73" s="8" t="s">
        <v>19</v>
      </c>
      <c r="C73" s="9" t="s">
        <v>44</v>
      </c>
      <c r="D73" s="9">
        <v>30000</v>
      </c>
      <c r="E73" s="10">
        <v>9.5</v>
      </c>
      <c r="F73" s="8">
        <v>200</v>
      </c>
      <c r="G73" s="22">
        <v>1</v>
      </c>
      <c r="H73" s="8">
        <v>0</v>
      </c>
      <c r="I73" s="9">
        <f t="shared" si="5"/>
        <v>30000</v>
      </c>
      <c r="J73" s="9">
        <v>1</v>
      </c>
      <c r="K73" s="10">
        <f t="shared" si="6"/>
        <v>0</v>
      </c>
    </row>
    <row r="74" spans="2:11" x14ac:dyDescent="0.3">
      <c r="B74" s="8" t="s">
        <v>21</v>
      </c>
      <c r="C74" s="9" t="s">
        <v>44</v>
      </c>
      <c r="D74" s="9">
        <v>33807.411145023136</v>
      </c>
      <c r="E74" s="10">
        <v>11.114999999999998</v>
      </c>
      <c r="F74" s="8">
        <v>200</v>
      </c>
      <c r="G74" s="22">
        <v>1</v>
      </c>
      <c r="H74" s="8">
        <v>0</v>
      </c>
      <c r="I74" s="9">
        <f t="shared" si="5"/>
        <v>33807.411145023136</v>
      </c>
      <c r="J74" s="9">
        <v>1</v>
      </c>
      <c r="K74" s="10">
        <f t="shared" si="6"/>
        <v>0</v>
      </c>
    </row>
    <row r="75" spans="2:11" x14ac:dyDescent="0.3">
      <c r="B75" s="8" t="s">
        <v>26</v>
      </c>
      <c r="C75" s="9" t="s">
        <v>44</v>
      </c>
      <c r="D75" s="9">
        <v>29091.422171901155</v>
      </c>
      <c r="E75" s="10">
        <v>13.004549999999997</v>
      </c>
      <c r="F75" s="8">
        <v>200</v>
      </c>
      <c r="G75" s="22">
        <v>1</v>
      </c>
      <c r="H75" s="8">
        <v>0</v>
      </c>
      <c r="I75" s="9">
        <f t="shared" si="5"/>
        <v>29091.422171901155</v>
      </c>
      <c r="J75" s="9">
        <v>1</v>
      </c>
      <c r="K75" s="10">
        <f t="shared" si="6"/>
        <v>0</v>
      </c>
    </row>
    <row r="76" spans="2:11" x14ac:dyDescent="0.3">
      <c r="B76" s="8" t="s">
        <v>22</v>
      </c>
      <c r="C76" s="9" t="s">
        <v>44</v>
      </c>
      <c r="D76" s="9">
        <v>18608.362049161489</v>
      </c>
      <c r="E76" s="10">
        <v>15.215323499999995</v>
      </c>
      <c r="F76" s="8">
        <v>200</v>
      </c>
      <c r="G76" s="22">
        <v>1</v>
      </c>
      <c r="H76" s="8">
        <v>0</v>
      </c>
      <c r="I76" s="9">
        <f t="shared" si="5"/>
        <v>18608.362049161489</v>
      </c>
      <c r="J76" s="9">
        <v>1</v>
      </c>
      <c r="K76" s="10">
        <f t="shared" si="6"/>
        <v>0</v>
      </c>
    </row>
    <row r="77" spans="2:11" x14ac:dyDescent="0.3">
      <c r="B77" s="8" t="s">
        <v>23</v>
      </c>
      <c r="C77" s="9" t="s">
        <v>44</v>
      </c>
      <c r="D77" s="9">
        <v>21406.220903247588</v>
      </c>
      <c r="E77" s="10">
        <v>17.801928494999991</v>
      </c>
      <c r="F77" s="8">
        <v>200</v>
      </c>
      <c r="G77" s="22">
        <v>1</v>
      </c>
      <c r="H77" s="8">
        <v>0</v>
      </c>
      <c r="I77" s="9">
        <f t="shared" si="5"/>
        <v>21406.220903247588</v>
      </c>
      <c r="J77" s="9">
        <v>1</v>
      </c>
      <c r="K77" s="10">
        <f t="shared" si="6"/>
        <v>0</v>
      </c>
    </row>
    <row r="78" spans="2:11" x14ac:dyDescent="0.3">
      <c r="B78" s="8" t="s">
        <v>30</v>
      </c>
      <c r="C78" s="9" t="s">
        <v>44</v>
      </c>
      <c r="D78" s="9">
        <v>15506.547208821501</v>
      </c>
      <c r="E78" s="10">
        <v>20.828256339149988</v>
      </c>
      <c r="F78" s="8">
        <v>200</v>
      </c>
      <c r="G78" s="22">
        <v>1</v>
      </c>
      <c r="H78" s="8">
        <v>0</v>
      </c>
      <c r="I78" s="9">
        <f t="shared" si="5"/>
        <v>15506.547208821501</v>
      </c>
      <c r="J78" s="9">
        <v>1</v>
      </c>
      <c r="K78" s="10">
        <f t="shared" si="6"/>
        <v>0</v>
      </c>
    </row>
    <row r="79" spans="2:11" x14ac:dyDescent="0.3">
      <c r="B79" s="25"/>
      <c r="C79" s="25"/>
      <c r="D79" s="23"/>
      <c r="E79" s="26"/>
      <c r="F79" s="23"/>
      <c r="G79" s="24"/>
      <c r="H79" s="23"/>
      <c r="I79" s="23"/>
      <c r="J79" s="23"/>
      <c r="K79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Hesaplar</vt:lpstr>
      <vt:lpstr>Otomatik Hesaplama</vt:lpstr>
      <vt:lpstr>Kampanya</vt:lpstr>
      <vt:lpstr>Günlük Gösterim Sayıları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Özbek Arslan</dc:creator>
  <cp:lastModifiedBy>İbrahim Özbek Arslan</cp:lastModifiedBy>
  <dcterms:created xsi:type="dcterms:W3CDTF">2015-06-05T18:17:20Z</dcterms:created>
  <dcterms:modified xsi:type="dcterms:W3CDTF">2026-08-26T12:13:06Z</dcterms:modified>
</cp:coreProperties>
</file>